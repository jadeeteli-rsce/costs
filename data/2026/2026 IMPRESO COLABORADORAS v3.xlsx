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rias\Downloads\"/>
    </mc:Choice>
  </mc:AlternateContent>
  <xr:revisionPtr revIDLastSave="0" documentId="13_ncr:1_{47D06505-971D-4F82-8B97-F037D629EF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 TARIFAS CANINAS_v3 " sheetId="1" r:id="rId1"/>
  </sheets>
  <definedNames>
    <definedName name="_xlnm.Print_Area" localSheetId="0">'2026 TARIFAS CANINAS_v3 '!$A$1:$G$98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1" l="1"/>
  <c r="G41" i="1"/>
  <c r="G25" i="1"/>
  <c r="G23" i="1"/>
  <c r="G14" i="1"/>
  <c r="G20" i="1"/>
  <c r="G76" i="1"/>
  <c r="G74" i="1"/>
  <c r="G72" i="1"/>
  <c r="G71" i="1"/>
  <c r="G70" i="1"/>
  <c r="G69" i="1"/>
  <c r="G55" i="1"/>
  <c r="G54" i="1"/>
  <c r="G53" i="1"/>
  <c r="G51" i="1"/>
  <c r="G49" i="1"/>
  <c r="G48" i="1"/>
  <c r="G47" i="1"/>
  <c r="G46" i="1"/>
  <c r="G45" i="1"/>
  <c r="G44" i="1"/>
  <c r="G43" i="1"/>
  <c r="G42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4" i="1"/>
  <c r="G22" i="1"/>
  <c r="G19" i="1"/>
  <c r="G18" i="1"/>
  <c r="G17" i="1"/>
  <c r="G16" i="1"/>
  <c r="G15" i="1"/>
  <c r="G13" i="1"/>
  <c r="G12" i="1"/>
  <c r="G11" i="1"/>
  <c r="G10" i="1"/>
  <c r="G9" i="1"/>
  <c r="G78" i="1" l="1"/>
  <c r="G77" i="1"/>
  <c r="G79" i="1" l="1"/>
  <c r="G80" i="1" s="1"/>
  <c r="G82" i="1" s="1"/>
  <c r="G88" i="1" s="1"/>
</calcChain>
</file>

<file path=xl/sharedStrings.xml><?xml version="1.0" encoding="utf-8"?>
<sst xmlns="http://schemas.openxmlformats.org/spreadsheetml/2006/main" count="101" uniqueCount="101">
  <si>
    <t xml:space="preserve">SOCIEDAD CANINA </t>
  </si>
  <si>
    <t>FECHA</t>
  </si>
  <si>
    <t>CONCEPTO</t>
  </si>
  <si>
    <t>CÓDIGO</t>
  </si>
  <si>
    <t>CANTIDAD</t>
  </si>
  <si>
    <t>PRECIO</t>
  </si>
  <si>
    <t>IMPORTE</t>
  </si>
  <si>
    <t>INCRIPCIONES EN EL L.O.E./R.R.C.</t>
  </si>
  <si>
    <t>REGISTRO INICIAL DE RAZAS ESPAÑOLAS</t>
  </si>
  <si>
    <t>REGISTRO INICIAL DE RAZAS ESPAÑOLAS VULNERABLES</t>
  </si>
  <si>
    <t>REGISTRO INICIAL DEL RESTO DE RAZAS</t>
  </si>
  <si>
    <t>REGISTRO INICIAL GRUPO ÉTNICO</t>
  </si>
  <si>
    <t>IMPRESO ALTA DE CAMADA (PERROS DE RAZA)</t>
  </si>
  <si>
    <t>IMPRESO ALTA DE CAMADA (GRUPOS ÉTNICOS)</t>
  </si>
  <si>
    <t>INSCRIPCION IMPORTADOS</t>
  </si>
  <si>
    <r>
      <t xml:space="preserve">INSCRIPCION DE OTROS LIBROS GENEALOGICOS </t>
    </r>
    <r>
      <rPr>
        <b/>
        <sz val="8.5"/>
        <rFont val="Arial"/>
        <family val="2"/>
      </rPr>
      <t>(NO ADMITE PLUS DE URGENCIA)</t>
    </r>
  </si>
  <si>
    <t>DUPLICADO JUSTIFICANTE DE INSCRIPCION</t>
  </si>
  <si>
    <t>BAJA DE UN PERRO EN EL L.O.E./R.R.C.</t>
  </si>
  <si>
    <t>CONFIRMACIÓN DE RAZA (PERROS RAZAS ESPAÑOLAS)</t>
  </si>
  <si>
    <t>CONFIRMACIÓN DE RAZA (PERROS GRUPOS ÉTINICOS)</t>
  </si>
  <si>
    <t>PEDIGREES Y TRANSFERENCIA DE PROPIEDAD</t>
  </si>
  <si>
    <t>PEDIGREE_RSCE ACCESS LBO CON TRANSFERENCIA</t>
  </si>
  <si>
    <t>PEDIGREE_RSCE ACCESS LBO SIN TRANSFERENCIA</t>
  </si>
  <si>
    <t>PEDIGREE_RSCE ACCESS RBR CON TRANSFERENCIA</t>
  </si>
  <si>
    <t>PEDIGREE_RSCE ACCESS RBR SIN TRANSFERENCIA</t>
  </si>
  <si>
    <t>MEJORA DE PEDRIGREE_RSCE ACCES LBO A PEDIGREE_PREMIUN LOE 3 GENERACIONES SIN TRANSFERENCIA</t>
  </si>
  <si>
    <t>MEJORA DE PEDRIGREE_RSCE ACCES LBO A PEDIGREE_PREMIUN LOE 4 GENERACIONES SIN TRANSFERENCIA</t>
  </si>
  <si>
    <t>MEJORA DE PEDRIGREE_RESCE ACCES RBR A PEDRIGREE_RSCE PREMIUM RRC SIN TRANSFERENCIA</t>
  </si>
  <si>
    <t>PEDIGREE_RSCE PREMIUN 3 GENERACIONES CON TRANSFERENCIA</t>
  </si>
  <si>
    <t>PEDIGREE_RSCE PREMIUN 4 GENERACIONES CON TRANSFERENCIA</t>
  </si>
  <si>
    <t xml:space="preserve">PEDIGREE_RSCE PREMIUN RRC 3 GENERACIONES CON TRANSFERENCIA </t>
  </si>
  <si>
    <t>PEDIGREE_RSCE PREMIUN 3 GENERACIONES SIN TRANSFERENCIA</t>
  </si>
  <si>
    <t>PEDIGREE_RSCE PREMIUN 4 GENERACIONES SIN TRANSFERENCIA</t>
  </si>
  <si>
    <t>PEDIGREE_RSCE PLUS 3 GENERACIONES CON TRANSFERENCIA</t>
  </si>
  <si>
    <t>PEDIGREE_RSCE PLUS 4 GENERACIONES CON TRANSFERENCIA</t>
  </si>
  <si>
    <t>MEJORA A PEDIGREE_RSCE PLUS 3 GENERACIONES SIN TRANSFERENCIA</t>
  </si>
  <si>
    <t>MEJORA A PEDIGREE_RSCE PLUS 4 GENERACIONES SIN TRANSFERENCIA</t>
  </si>
  <si>
    <t>MEJORA A PEDIGREE_RSCE PLUS RRC (sin genealogía completa) SIN TRANSFERENCIA</t>
  </si>
  <si>
    <t>PEDIGREE_RSCE DE EXPORTACION 3 GENERACIONES</t>
  </si>
  <si>
    <t>PEDIGREE_RSCE DE EXPORTACION 4 GENERACIONES</t>
  </si>
  <si>
    <t>MEJORA A PEDIGREE_RSCE PLUS RRC (sin genealogía completa) CON TRANSFERENCIA</t>
  </si>
  <si>
    <t>DUPLICADO PEDIGREE_RSCE</t>
  </si>
  <si>
    <t>DUPLICADO PEDIGREE_RSCE DE EXPORTACIÓN 3 GENERACIONES</t>
  </si>
  <si>
    <t>DUPLICADO PEDIGREE_RSCE DE EXPORTACIÓN 4 GENERACIONES</t>
  </si>
  <si>
    <t>PEDIGREE ORO</t>
  </si>
  <si>
    <r>
      <t xml:space="preserve">PEDIGREE ORO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</t>
    </r>
  </si>
  <si>
    <r>
      <t xml:space="preserve">CAMBIO PEDIGREE TRES GENERACIONES A PEDIGREE ORO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 DE PROPIEDAD</t>
    </r>
  </si>
  <si>
    <r>
      <t xml:space="preserve">CAMBIO PEDIGREE CUATRO GENERACIONES A PEDIGREE ORO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TRANSFENCIA DE PROPIEDAD</t>
    </r>
  </si>
  <si>
    <t>TRANSFERENCIA DE PROPIEDAD REGISTRO INICIAL O PERRO IMPORTADO</t>
  </si>
  <si>
    <t>TRANSFERENCIA DE PROPIEDAD GRUPOS ETNICOS</t>
  </si>
  <si>
    <t>CESION TEMPORAL DE PROPIEDAD DE  LOS REPRODUCTORES</t>
  </si>
  <si>
    <t>AFIJOS</t>
  </si>
  <si>
    <t>SOLICITUD DE AFIJO</t>
  </si>
  <si>
    <t>RECTIFICACION DE AFIJO</t>
  </si>
  <si>
    <t>DUPLICADO DE AFIJO</t>
  </si>
  <si>
    <t>TRABAJO R.C.I. / OBEDICENCIA</t>
  </si>
  <si>
    <t>LICENCIA DEPORTIVA INICIAL</t>
  </si>
  <si>
    <t>RENOVACION ANUAL LICENCIA DEPORTIVA</t>
  </si>
  <si>
    <t>CUOTA ANUAL GRUPO DE TRABAJO R.C.I. / OBEDIENCIA</t>
  </si>
  <si>
    <t>CUOTA ANUAL CONJUNTA GRUPO DE TRABAJO R.C.I. / OBEDIENCIA</t>
  </si>
  <si>
    <t xml:space="preserve">CERTIFICADO DE TRABAJO </t>
  </si>
  <si>
    <t>CARTILLA DE TRABAJO R.C.I.</t>
  </si>
  <si>
    <t>AGILITY</t>
  </si>
  <si>
    <t>LICENCIA NUEVA INDIVIDUAL DE AGILITY</t>
  </si>
  <si>
    <t>RENOVACION LICENCIA INDIVIDUAL DE AGILITY</t>
  </si>
  <si>
    <t>CARTILLAS DE AGILITY</t>
  </si>
  <si>
    <t>CUOTA ANUAL CLUB AGILITY</t>
  </si>
  <si>
    <t>MUESTRA, RASTRO Y MADRIGUERA</t>
  </si>
  <si>
    <t>IMPRESO PARA PRUEBAS  DE C.A.C.T. - C.A.C.I.T.</t>
  </si>
  <si>
    <t>IMPRESO DIPLOMA DE INICIACION (Original y 3 copias)</t>
  </si>
  <si>
    <t>IMPRESO PRUEBAS APTITUDES NATURALES (Original y 3 copias)</t>
  </si>
  <si>
    <t>CARTILLA PARA PERROS DE RASTRO DEL GRUPO 6º</t>
  </si>
  <si>
    <t>TRABAJO Y UTILIDAD</t>
  </si>
  <si>
    <t>IMPRESO HOJA DE CALIFICACIÓN - PRUEBAS PERRO DE AGUA ESPAÑOL</t>
  </si>
  <si>
    <t>VARIOS</t>
  </si>
  <si>
    <t>POR PERRO INSCRITO EN CADA PRUEBA CON CAC / CACT</t>
  </si>
  <si>
    <t>SUMA … … … … … … …</t>
  </si>
  <si>
    <t>I.V.A. … …</t>
  </si>
  <si>
    <t>TOTAL REMESA</t>
  </si>
  <si>
    <t>FACTURAS PENDIENTES NUMEROS</t>
  </si>
  <si>
    <t>ABONOS PENDIENTES NUMEROS</t>
  </si>
  <si>
    <t>TOTAL AUTOLIQUIDACION</t>
  </si>
  <si>
    <t>Por el total de esta autoliquidación acompañamos:</t>
  </si>
  <si>
    <t>Real Sociedad Canina de España</t>
  </si>
  <si>
    <t xml:space="preserve">Calle Maldonado, 56 </t>
  </si>
  <si>
    <t>28006 MADRID</t>
  </si>
  <si>
    <t>FORMULARIO IDENTIFICACION</t>
  </si>
  <si>
    <t>INSCRIPCIÓN CACHORRO PREMIUM LOE/RRC</t>
  </si>
  <si>
    <t>INSCRIPCIÓN CACHORRO RAZAS ESPAÑOLAS BONIFICADAS</t>
  </si>
  <si>
    <t>INSCRIPCIÓN CACHORRO GRUPOS ÉTNICOS</t>
  </si>
  <si>
    <t>INSCRIPCIÓN CACHORRO ACCESS LBO/RBR</t>
  </si>
  <si>
    <t>RECARGO 100% INSCRIPCIÓN CACHORRO PREMIUM LOE/RRC</t>
  </si>
  <si>
    <t>RECARGO 200% INSCRIPCIÓN CACHORRO PREMIUM LOE/RRC</t>
  </si>
  <si>
    <t>RECARGO 300% INSCRIPCIÓN CACHORRO PREMIUM LOE/RRC</t>
  </si>
  <si>
    <t>RECARGO 100% INSCRIPCIÓN CACHORRO ACCESS LBO/RBR</t>
  </si>
  <si>
    <t>RECARGO 200% INSCRIPCIÓN CACHORRO ACCESS LBO/RBR</t>
  </si>
  <si>
    <t>RECARGO 300% INSCRIPCIÓN CACHORRO ACCESS LBO/RBR</t>
  </si>
  <si>
    <t>TARIFA AÑO 2026 (en vigor desde el 1 de Julio de 2026)</t>
  </si>
  <si>
    <t>2026 - V3</t>
  </si>
  <si>
    <t>TARIFAS TRÁMITES CAMADAS</t>
  </si>
  <si>
    <t xml:space="preserve">* los precios eque aparecen en las tarifas son sin IVA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</si>
</sst>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;\-###,##0.00;;@"/>
    <numFmt numFmtId="165" formatCode="##,##0;\-##,##0;;@"/>
  </numFmts>
  <fonts count="19" x14ac:knownFonts="1">
    <font>
      <sz val="10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0"/>
      <name val="Baskerville Old Face"/>
      <family val="1"/>
    </font>
    <font>
      <b/>
      <sz val="22"/>
      <name val="Baskerville Old Face"/>
      <family val="1"/>
    </font>
    <font>
      <sz val="7"/>
      <name val="Arial"/>
      <family val="2"/>
    </font>
    <font>
      <u/>
      <sz val="10"/>
      <name val="Arial"/>
      <family val="2"/>
    </font>
    <font>
      <sz val="11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theme="0" tint="-0.34998626667073579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theme="0" tint="-0.34998626667073579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0" xfId="0" applyAlignment="1">
      <alignment vertical="center"/>
    </xf>
    <xf numFmtId="0" fontId="7" fillId="2" borderId="0" xfId="0" applyFont="1" applyFill="1" applyAlignment="1">
      <alignment horizontal="right" indent="1"/>
    </xf>
    <xf numFmtId="0" fontId="0" fillId="2" borderId="0" xfId="0" applyFill="1" applyAlignment="1">
      <alignment horizontal="right" indent="1"/>
    </xf>
    <xf numFmtId="14" fontId="0" fillId="2" borderId="29" xfId="0" applyNumberFormat="1" applyFill="1" applyBorder="1" applyAlignment="1" applyProtection="1">
      <alignment horizontal="center"/>
      <protection locked="0"/>
    </xf>
    <xf numFmtId="0" fontId="0" fillId="2" borderId="0" xfId="0" applyFill="1"/>
    <xf numFmtId="0" fontId="1" fillId="2" borderId="0" xfId="0" applyFont="1" applyFill="1"/>
    <xf numFmtId="3" fontId="10" fillId="2" borderId="6" xfId="0" applyNumberFormat="1" applyFont="1" applyFill="1" applyBorder="1" applyAlignment="1">
      <alignment horizontal="center" vertical="center"/>
    </xf>
    <xf numFmtId="10" fontId="10" fillId="2" borderId="6" xfId="0" applyNumberFormat="1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/>
    </xf>
    <xf numFmtId="165" fontId="10" fillId="2" borderId="14" xfId="0" applyNumberFormat="1" applyFont="1" applyFill="1" applyBorder="1" applyAlignment="1" applyProtection="1">
      <alignment horizontal="right" vertical="center" indent="1"/>
      <protection locked="0"/>
    </xf>
    <xf numFmtId="0" fontId="9" fillId="2" borderId="8" xfId="0" applyFont="1" applyFill="1" applyBorder="1" applyAlignment="1">
      <alignment horizontal="left" vertical="center" indent="1"/>
    </xf>
    <xf numFmtId="0" fontId="9" fillId="2" borderId="21" xfId="0" applyFont="1" applyFill="1" applyBorder="1" applyAlignment="1">
      <alignment horizontal="left" vertical="center" indent="1"/>
    </xf>
    <xf numFmtId="0" fontId="9" fillId="2" borderId="18" xfId="0" applyFont="1" applyFill="1" applyBorder="1" applyAlignment="1">
      <alignment horizontal="left" vertical="center" wrapText="1" indent="1"/>
    </xf>
    <xf numFmtId="0" fontId="9" fillId="2" borderId="4" xfId="0" applyFont="1" applyFill="1" applyBorder="1" applyAlignment="1">
      <alignment horizontal="left" vertical="center" wrapText="1" indent="1"/>
    </xf>
    <xf numFmtId="0" fontId="9" fillId="2" borderId="12" xfId="0" applyFont="1" applyFill="1" applyBorder="1" applyAlignment="1">
      <alignment horizontal="left" vertical="center" wrapText="1" indent="1"/>
    </xf>
    <xf numFmtId="0" fontId="0" fillId="2" borderId="13" xfId="0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indent="1"/>
    </xf>
    <xf numFmtId="4" fontId="4" fillId="2" borderId="2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horizontal="left" vertical="center" indent="1"/>
    </xf>
    <xf numFmtId="4" fontId="4" fillId="2" borderId="1" xfId="0" applyNumberFormat="1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vertical="center"/>
    </xf>
    <xf numFmtId="4" fontId="3" fillId="2" borderId="2" xfId="0" applyNumberFormat="1" applyFont="1" applyFill="1" applyBorder="1" applyAlignment="1">
      <alignment vertical="center"/>
    </xf>
    <xf numFmtId="0" fontId="2" fillId="2" borderId="9" xfId="0" applyFont="1" applyFill="1" applyBorder="1" applyAlignment="1">
      <alignment horizontal="left" vertical="center" indent="1"/>
    </xf>
    <xf numFmtId="4" fontId="3" fillId="2" borderId="5" xfId="0" applyNumberFormat="1" applyFont="1" applyFill="1" applyBorder="1" applyAlignment="1">
      <alignment vertical="center"/>
    </xf>
    <xf numFmtId="0" fontId="9" fillId="2" borderId="4" xfId="0" applyFont="1" applyFill="1" applyBorder="1" applyAlignment="1">
      <alignment horizontal="left" vertical="center" indent="1"/>
    </xf>
    <xf numFmtId="0" fontId="9" fillId="2" borderId="12" xfId="0" applyFont="1" applyFill="1" applyBorder="1" applyAlignment="1">
      <alignment horizontal="left" vertical="center" indent="1"/>
    </xf>
    <xf numFmtId="0" fontId="0" fillId="2" borderId="13" xfId="0" applyFill="1" applyBorder="1" applyAlignment="1">
      <alignment horizontal="left" vertical="center" indent="1"/>
    </xf>
    <xf numFmtId="0" fontId="0" fillId="2" borderId="12" xfId="0" applyFill="1" applyBorder="1" applyAlignment="1">
      <alignment horizontal="left" vertical="center" indent="1"/>
    </xf>
    <xf numFmtId="0" fontId="6" fillId="2" borderId="8" xfId="0" applyFont="1" applyFill="1" applyBorder="1" applyAlignment="1">
      <alignment horizontal="left" vertical="center" indent="1"/>
    </xf>
    <xf numFmtId="0" fontId="6" fillId="2" borderId="23" xfId="0" applyFont="1" applyFill="1" applyBorder="1" applyAlignment="1">
      <alignment horizontal="left" vertical="center" indent="1"/>
    </xf>
    <xf numFmtId="165" fontId="10" fillId="2" borderId="25" xfId="0" applyNumberFormat="1" applyFont="1" applyFill="1" applyBorder="1" applyAlignment="1" applyProtection="1">
      <alignment horizontal="right" vertical="center" indent="1"/>
      <protection locked="0"/>
    </xf>
    <xf numFmtId="14" fontId="15" fillId="2" borderId="26" xfId="0" applyNumberFormat="1" applyFont="1" applyFill="1" applyBorder="1" applyAlignment="1">
      <alignment horizontal="left"/>
    </xf>
    <xf numFmtId="0" fontId="15" fillId="2" borderId="26" xfId="0" applyFont="1" applyFill="1" applyBorder="1"/>
    <xf numFmtId="0" fontId="0" fillId="2" borderId="26" xfId="0" applyFill="1" applyBorder="1"/>
    <xf numFmtId="0" fontId="0" fillId="2" borderId="0" xfId="0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5" fillId="2" borderId="0" xfId="0" applyFont="1" applyFill="1" applyAlignment="1">
      <alignment horizontal="right"/>
    </xf>
    <xf numFmtId="0" fontId="5" fillId="2" borderId="0" xfId="0" applyFont="1" applyFill="1"/>
    <xf numFmtId="0" fontId="14" fillId="2" borderId="0" xfId="0" applyFont="1" applyFill="1" applyAlignment="1">
      <alignment horizontal="right"/>
    </xf>
    <xf numFmtId="0" fontId="13" fillId="2" borderId="0" xfId="0" applyFont="1" applyFill="1" applyAlignment="1">
      <alignment horizontal="right"/>
    </xf>
    <xf numFmtId="0" fontId="9" fillId="2" borderId="13" xfId="0" applyFont="1" applyFill="1" applyBorder="1" applyAlignment="1">
      <alignment horizontal="left" vertical="center" indent="1"/>
    </xf>
    <xf numFmtId="0" fontId="17" fillId="2" borderId="8" xfId="0" quotePrefix="1" applyFont="1" applyFill="1" applyBorder="1" applyAlignment="1">
      <alignment horizontal="center" vertical="center"/>
    </xf>
    <xf numFmtId="165" fontId="11" fillId="2" borderId="14" xfId="0" applyNumberFormat="1" applyFont="1" applyFill="1" applyBorder="1" applyAlignment="1" applyProtection="1">
      <alignment horizontal="right" vertical="center" indent="1"/>
      <protection locked="0"/>
    </xf>
    <xf numFmtId="165" fontId="11" fillId="2" borderId="19" xfId="0" applyNumberFormat="1" applyFont="1" applyFill="1" applyBorder="1" applyAlignment="1" applyProtection="1">
      <alignment horizontal="right" vertical="center" indent="1"/>
      <protection locked="0"/>
    </xf>
    <xf numFmtId="4" fontId="0" fillId="2" borderId="10" xfId="0" applyNumberFormat="1" applyFill="1" applyBorder="1" applyAlignment="1">
      <alignment horizontal="right" vertical="center"/>
    </xf>
    <xf numFmtId="164" fontId="0" fillId="2" borderId="0" xfId="0" applyNumberFormat="1" applyFill="1" applyAlignment="1">
      <alignment horizontal="right"/>
    </xf>
    <xf numFmtId="0" fontId="0" fillId="0" borderId="0" xfId="0" applyAlignment="1">
      <alignment horizontal="right"/>
    </xf>
    <xf numFmtId="164" fontId="0" fillId="2" borderId="20" xfId="0" applyNumberFormat="1" applyFill="1" applyBorder="1" applyAlignment="1">
      <alignment horizontal="right" vertical="center"/>
    </xf>
    <xf numFmtId="164" fontId="5" fillId="2" borderId="20" xfId="0" applyNumberFormat="1" applyFont="1" applyFill="1" applyBorder="1" applyAlignment="1">
      <alignment horizontal="right" vertical="center"/>
    </xf>
    <xf numFmtId="164" fontId="5" fillId="2" borderId="22" xfId="0" applyNumberFormat="1" applyFont="1" applyFill="1" applyBorder="1" applyAlignment="1">
      <alignment horizontal="right" vertical="center"/>
    </xf>
    <xf numFmtId="164" fontId="5" fillId="2" borderId="17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164" fontId="5" fillId="2" borderId="15" xfId="0" applyNumberFormat="1" applyFont="1" applyFill="1" applyBorder="1" applyAlignment="1">
      <alignment horizontal="right" vertical="center"/>
    </xf>
    <xf numFmtId="164" fontId="5" fillId="2" borderId="15" xfId="0" applyNumberFormat="1" applyFont="1" applyFill="1" applyBorder="1" applyAlignment="1" applyProtection="1">
      <alignment horizontal="right" vertical="center"/>
      <protection locked="0"/>
    </xf>
    <xf numFmtId="4" fontId="11" fillId="2" borderId="4" xfId="0" applyNumberFormat="1" applyFont="1" applyFill="1" applyBorder="1" applyAlignment="1">
      <alignment horizontal="right" vertical="center"/>
    </xf>
    <xf numFmtId="0" fontId="4" fillId="2" borderId="13" xfId="0" applyFont="1" applyFill="1" applyBorder="1" applyAlignment="1">
      <alignment horizontal="right" vertical="center" wrapText="1"/>
    </xf>
    <xf numFmtId="4" fontId="2" fillId="2" borderId="3" xfId="0" applyNumberFormat="1" applyFont="1" applyFill="1" applyBorder="1" applyAlignment="1">
      <alignment horizontal="right" vertical="center"/>
    </xf>
    <xf numFmtId="10" fontId="11" fillId="2" borderId="0" xfId="0" applyNumberFormat="1" applyFont="1" applyFill="1" applyAlignment="1">
      <alignment horizontal="right"/>
    </xf>
    <xf numFmtId="0" fontId="0" fillId="2" borderId="8" xfId="0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4" fontId="10" fillId="2" borderId="4" xfId="0" applyNumberFormat="1" applyFont="1" applyFill="1" applyBorder="1" applyAlignment="1" applyProtection="1">
      <alignment horizontal="right" vertical="center"/>
      <protection locked="0"/>
    </xf>
    <xf numFmtId="4" fontId="10" fillId="2" borderId="23" xfId="0" applyNumberFormat="1" applyFont="1" applyFill="1" applyBorder="1" applyAlignment="1" applyProtection="1">
      <alignment horizontal="right" vertical="center"/>
      <protection locked="0"/>
    </xf>
    <xf numFmtId="4" fontId="0" fillId="0" borderId="0" xfId="0" applyNumberFormat="1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11" fillId="0" borderId="4" xfId="0" applyNumberFormat="1" applyFont="1" applyBorder="1" applyAlignment="1">
      <alignment horizontal="right" vertical="center"/>
    </xf>
    <xf numFmtId="0" fontId="5" fillId="0" borderId="32" xfId="0" applyFont="1" applyBorder="1"/>
    <xf numFmtId="0" fontId="9" fillId="2" borderId="4" xfId="0" applyFont="1" applyFill="1" applyBorder="1" applyAlignment="1">
      <alignment horizontal="left" vertical="center" indent="1"/>
    </xf>
    <xf numFmtId="0" fontId="9" fillId="2" borderId="12" xfId="0" applyFont="1" applyFill="1" applyBorder="1" applyAlignment="1">
      <alignment horizontal="left" vertical="center" indent="1"/>
    </xf>
    <xf numFmtId="0" fontId="0" fillId="2" borderId="13" xfId="0" applyFill="1" applyBorder="1" applyAlignment="1">
      <alignment horizontal="left" vertical="center" indent="1"/>
    </xf>
    <xf numFmtId="0" fontId="18" fillId="2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0" fillId="2" borderId="12" xfId="0" applyFill="1" applyBorder="1"/>
    <xf numFmtId="0" fontId="0" fillId="2" borderId="13" xfId="0" applyFill="1" applyBorder="1"/>
    <xf numFmtId="0" fontId="8" fillId="2" borderId="4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 wrapText="1" indent="1"/>
    </xf>
    <xf numFmtId="0" fontId="0" fillId="2" borderId="12" xfId="0" applyFill="1" applyBorder="1" applyAlignment="1">
      <alignment horizontal="left" vertical="center" wrapText="1" indent="1"/>
    </xf>
    <xf numFmtId="0" fontId="0" fillId="2" borderId="13" xfId="0" applyFill="1" applyBorder="1" applyAlignment="1">
      <alignment horizontal="left" vertical="center" wrapText="1" indent="1"/>
    </xf>
    <xf numFmtId="0" fontId="9" fillId="2" borderId="13" xfId="0" applyFont="1" applyFill="1" applyBorder="1" applyAlignment="1">
      <alignment horizontal="left" vertical="center" indent="1"/>
    </xf>
    <xf numFmtId="0" fontId="0" fillId="2" borderId="28" xfId="0" applyFill="1" applyBorder="1" applyAlignment="1">
      <alignment horizontal="right"/>
    </xf>
    <xf numFmtId="0" fontId="0" fillId="2" borderId="28" xfId="0" applyFill="1" applyBorder="1"/>
    <xf numFmtId="0" fontId="0" fillId="2" borderId="26" xfId="0" applyFill="1" applyBorder="1"/>
    <xf numFmtId="0" fontId="2" fillId="2" borderId="27" xfId="0" applyFont="1" applyFill="1" applyBorder="1" applyAlignment="1" applyProtection="1">
      <alignment horizontal="left" indent="1"/>
      <protection locked="0"/>
    </xf>
    <xf numFmtId="0" fontId="2" fillId="2" borderId="23" xfId="0" applyFont="1" applyFill="1" applyBorder="1" applyAlignment="1" applyProtection="1">
      <alignment horizontal="left" vertical="center" indent="1"/>
      <protection locked="0"/>
    </xf>
    <xf numFmtId="0" fontId="2" fillId="2" borderId="31" xfId="0" applyFont="1" applyFill="1" applyBorder="1" applyAlignment="1" applyProtection="1">
      <alignment horizontal="left" vertical="center" indent="1"/>
      <protection locked="0"/>
    </xf>
    <xf numFmtId="0" fontId="0" fillId="2" borderId="24" xfId="0" applyFill="1" applyBorder="1" applyAlignment="1" applyProtection="1">
      <alignment horizontal="left" vertical="center" indent="1"/>
      <protection locked="0"/>
    </xf>
    <xf numFmtId="0" fontId="8" fillId="2" borderId="8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18" xfId="0" applyFill="1" applyBorder="1"/>
    <xf numFmtId="0" fontId="2" fillId="2" borderId="4" xfId="0" applyFont="1" applyFill="1" applyBorder="1" applyAlignment="1" applyProtection="1">
      <alignment horizontal="left" vertical="center" indent="1"/>
      <protection locked="0"/>
    </xf>
    <xf numFmtId="0" fontId="2" fillId="2" borderId="12" xfId="0" applyFont="1" applyFill="1" applyBorder="1" applyAlignment="1" applyProtection="1">
      <alignment horizontal="left" vertical="center" indent="1"/>
      <protection locked="0"/>
    </xf>
    <xf numFmtId="0" fontId="0" fillId="2" borderId="13" xfId="0" applyFill="1" applyBorder="1" applyAlignment="1" applyProtection="1">
      <alignment horizontal="left" vertical="center" indent="1"/>
      <protection locked="0"/>
    </xf>
    <xf numFmtId="0" fontId="2" fillId="2" borderId="4" xfId="0" applyFont="1" applyFill="1" applyBorder="1" applyAlignment="1">
      <alignment horizontal="left" vertical="center" indent="1"/>
    </xf>
    <xf numFmtId="0" fontId="2" fillId="2" borderId="12" xfId="0" applyFont="1" applyFill="1" applyBorder="1" applyAlignment="1">
      <alignment horizontal="left" vertical="center" indent="1"/>
    </xf>
    <xf numFmtId="0" fontId="12" fillId="2" borderId="27" xfId="0" applyFont="1" applyFill="1" applyBorder="1" applyProtection="1">
      <protection locked="0"/>
    </xf>
    <xf numFmtId="0" fontId="0" fillId="2" borderId="27" xfId="0" applyFill="1" applyBorder="1" applyProtection="1">
      <protection locked="0"/>
    </xf>
    <xf numFmtId="0" fontId="0" fillId="2" borderId="27" xfId="0" applyFill="1" applyBorder="1" applyAlignment="1" applyProtection="1">
      <alignment horizontal="left" indent="1"/>
      <protection locked="0"/>
    </xf>
    <xf numFmtId="0" fontId="4" fillId="2" borderId="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/>
    <xf numFmtId="3" fontId="1" fillId="2" borderId="6" xfId="0" applyNumberFormat="1" applyFont="1" applyFill="1" applyBorder="1" applyAlignment="1">
      <alignment horizontal="center" vertical="center"/>
    </xf>
    <xf numFmtId="3" fontId="1" fillId="2" borderId="30" xfId="0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3" fontId="16" fillId="2" borderId="0" xfId="0" applyNumberFormat="1" applyFont="1" applyFill="1" applyAlignment="1" applyProtection="1">
      <alignment horizontal="left" indent="1"/>
      <protection locked="0"/>
    </xf>
    <xf numFmtId="0" fontId="9" fillId="2" borderId="1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387349</xdr:colOff>
      <xdr:row>88</xdr:row>
      <xdr:rowOff>0</xdr:rowOff>
    </xdr:from>
    <xdr:to>
      <xdr:col>0</xdr:col>
      <xdr:colOff>1225549</xdr:colOff>
      <xdr:row>95</xdr:row>
      <xdr:rowOff>9525</xdr:rowOff>
    </xdr:to>
    <xdr:pic>
      <xdr:nvPicPr>
        <xdr:cNvPr id="2" name="1 Imagen" descr="RSCE logo corona nueva3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7349" y="12615333"/>
          <a:ext cx="838200" cy="1099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6"/>
  <sheetViews>
    <sheetView tabSelected="1" zoomScale="145" zoomScaleNormal="145" workbookViewId="0">
      <selection activeCell="E11" sqref="E11"/>
    </sheetView>
  </sheetViews>
  <sheetFormatPr baseColWidth="10" defaultColWidth="11.42578125" defaultRowHeight="12.75" x14ac:dyDescent="0.2"/>
  <cols>
    <col min="1" max="1" width="35.42578125" customWidth="1"/>
    <col min="2" max="2" width="4" customWidth="1"/>
    <col min="3" max="3" width="55.7109375" customWidth="1"/>
    <col min="4" max="4" width="10.85546875" customWidth="1"/>
    <col min="5" max="5" width="9.7109375" customWidth="1"/>
    <col min="6" max="6" width="7.5703125" style="48" customWidth="1"/>
    <col min="7" max="7" width="10.42578125" style="48" customWidth="1"/>
    <col min="8" max="8" width="11.5703125" customWidth="1"/>
  </cols>
  <sheetData>
    <row r="1" spans="1:7" x14ac:dyDescent="0.2">
      <c r="A1" s="5"/>
      <c r="B1" s="5"/>
      <c r="C1" s="5"/>
      <c r="D1" s="5"/>
      <c r="E1" s="5"/>
      <c r="F1" s="35"/>
      <c r="G1" s="35"/>
    </row>
    <row r="2" spans="1:7" x14ac:dyDescent="0.2">
      <c r="A2" s="5"/>
      <c r="B2" s="5"/>
      <c r="C2" s="5"/>
      <c r="D2" s="5"/>
      <c r="E2" s="5"/>
      <c r="F2" s="35"/>
      <c r="G2" s="35"/>
    </row>
    <row r="3" spans="1:7" ht="18" x14ac:dyDescent="0.25">
      <c r="A3" s="2" t="s">
        <v>0</v>
      </c>
      <c r="B3" s="2"/>
      <c r="C3" s="100"/>
      <c r="D3" s="101"/>
      <c r="E3" s="101"/>
      <c r="F3" s="101"/>
      <c r="G3" s="101"/>
    </row>
    <row r="4" spans="1:7" ht="21.75" customHeight="1" x14ac:dyDescent="0.2">
      <c r="A4" s="3" t="s">
        <v>1</v>
      </c>
      <c r="B4" s="3"/>
      <c r="C4" s="4"/>
      <c r="D4" s="109"/>
      <c r="E4" s="109"/>
      <c r="F4" s="109"/>
      <c r="G4" s="109"/>
    </row>
    <row r="5" spans="1:7" ht="23.25" x14ac:dyDescent="0.35">
      <c r="A5" s="72" t="s">
        <v>97</v>
      </c>
      <c r="B5" s="73"/>
      <c r="C5" s="73"/>
      <c r="D5" s="73"/>
      <c r="E5" s="73"/>
      <c r="F5" s="73"/>
      <c r="G5" s="73"/>
    </row>
    <row r="6" spans="1:7" ht="21" thickBot="1" x14ac:dyDescent="0.35">
      <c r="A6" s="5"/>
      <c r="B6" s="5"/>
      <c r="C6" s="6"/>
      <c r="D6" s="5"/>
      <c r="E6" s="5"/>
      <c r="F6" s="35"/>
      <c r="G6" s="61"/>
    </row>
    <row r="7" spans="1:7" ht="20.100000000000001" customHeight="1" thickTop="1" x14ac:dyDescent="0.2">
      <c r="A7" s="110" t="s">
        <v>2</v>
      </c>
      <c r="B7" s="111"/>
      <c r="C7" s="112"/>
      <c r="D7" s="7" t="s">
        <v>3</v>
      </c>
      <c r="E7" s="7" t="s">
        <v>4</v>
      </c>
      <c r="F7" s="8" t="s">
        <v>5</v>
      </c>
      <c r="G7" s="9" t="s">
        <v>6</v>
      </c>
    </row>
    <row r="8" spans="1:7" s="1" customFormat="1" ht="15.95" customHeight="1" x14ac:dyDescent="0.2">
      <c r="A8" s="74" t="s">
        <v>7</v>
      </c>
      <c r="B8" s="75"/>
      <c r="C8" s="75"/>
      <c r="D8" s="76"/>
      <c r="E8" s="76"/>
      <c r="F8" s="76"/>
      <c r="G8" s="77"/>
    </row>
    <row r="9" spans="1:7" s="1" customFormat="1" ht="12.75" customHeight="1" x14ac:dyDescent="0.2">
      <c r="A9" s="69" t="s">
        <v>8</v>
      </c>
      <c r="B9" s="70"/>
      <c r="C9" s="71"/>
      <c r="D9" s="43">
        <v>11600001</v>
      </c>
      <c r="E9" s="44"/>
      <c r="F9" s="56">
        <v>12.54</v>
      </c>
      <c r="G9" s="49">
        <f>E9*F9</f>
        <v>0</v>
      </c>
    </row>
    <row r="10" spans="1:7" s="1" customFormat="1" ht="12.75" customHeight="1" x14ac:dyDescent="0.2">
      <c r="A10" s="25" t="s">
        <v>9</v>
      </c>
      <c r="B10" s="26"/>
      <c r="C10" s="27"/>
      <c r="D10" s="43">
        <v>11600004</v>
      </c>
      <c r="E10" s="45"/>
      <c r="F10" s="56">
        <v>9.33</v>
      </c>
      <c r="G10" s="49">
        <f t="shared" ref="G10:G55" si="0">E10*F10</f>
        <v>0</v>
      </c>
    </row>
    <row r="11" spans="1:7" s="1" customFormat="1" ht="12.75" customHeight="1" x14ac:dyDescent="0.2">
      <c r="A11" s="69" t="s">
        <v>10</v>
      </c>
      <c r="B11" s="70"/>
      <c r="C11" s="83"/>
      <c r="D11" s="43">
        <v>11600002</v>
      </c>
      <c r="E11" s="45"/>
      <c r="F11" s="56">
        <v>25.44</v>
      </c>
      <c r="G11" s="49">
        <f t="shared" si="0"/>
        <v>0</v>
      </c>
    </row>
    <row r="12" spans="1:7" s="1" customFormat="1" ht="12.75" customHeight="1" x14ac:dyDescent="0.2">
      <c r="A12" s="25" t="s">
        <v>11</v>
      </c>
      <c r="B12" s="26"/>
      <c r="C12" s="42"/>
      <c r="D12" s="43">
        <v>11600003</v>
      </c>
      <c r="E12" s="45"/>
      <c r="F12" s="56">
        <v>9.33</v>
      </c>
      <c r="G12" s="49">
        <f t="shared" si="0"/>
        <v>0</v>
      </c>
    </row>
    <row r="13" spans="1:7" s="1" customFormat="1" ht="12.75" customHeight="1" x14ac:dyDescent="0.2">
      <c r="A13" s="69" t="s">
        <v>12</v>
      </c>
      <c r="B13" s="70"/>
      <c r="C13" s="71"/>
      <c r="D13" s="43">
        <v>11800001</v>
      </c>
      <c r="E13" s="45"/>
      <c r="F13" s="56">
        <v>1.78</v>
      </c>
      <c r="G13" s="49">
        <f t="shared" si="0"/>
        <v>0</v>
      </c>
    </row>
    <row r="14" spans="1:7" s="1" customFormat="1" ht="12.75" customHeight="1" x14ac:dyDescent="0.2">
      <c r="A14" s="69" t="s">
        <v>13</v>
      </c>
      <c r="B14" s="70"/>
      <c r="C14" s="71"/>
      <c r="D14" s="43">
        <v>11800002</v>
      </c>
      <c r="E14" s="45"/>
      <c r="F14" s="56">
        <v>1.78</v>
      </c>
      <c r="G14" s="49">
        <f t="shared" ref="G14" si="1">E14*F14</f>
        <v>0</v>
      </c>
    </row>
    <row r="15" spans="1:7" s="1" customFormat="1" ht="12.75" customHeight="1" x14ac:dyDescent="0.2">
      <c r="A15" s="69" t="s">
        <v>14</v>
      </c>
      <c r="B15" s="70"/>
      <c r="C15" s="71"/>
      <c r="D15" s="43">
        <v>11100002</v>
      </c>
      <c r="E15" s="45"/>
      <c r="F15" s="56">
        <v>23.54</v>
      </c>
      <c r="G15" s="49">
        <f t="shared" si="0"/>
        <v>0</v>
      </c>
    </row>
    <row r="16" spans="1:7" s="1" customFormat="1" ht="12.75" customHeight="1" x14ac:dyDescent="0.2">
      <c r="A16" s="69" t="s">
        <v>15</v>
      </c>
      <c r="B16" s="70"/>
      <c r="C16" s="71"/>
      <c r="D16" s="43">
        <v>11100003</v>
      </c>
      <c r="E16" s="44"/>
      <c r="F16" s="56">
        <v>23.54</v>
      </c>
      <c r="G16" s="49">
        <f t="shared" si="0"/>
        <v>0</v>
      </c>
    </row>
    <row r="17" spans="1:7" s="1" customFormat="1" ht="12.75" customHeight="1" x14ac:dyDescent="0.2">
      <c r="A17" s="69" t="s">
        <v>16</v>
      </c>
      <c r="B17" s="70"/>
      <c r="C17" s="71"/>
      <c r="D17" s="43">
        <v>12000001</v>
      </c>
      <c r="E17" s="44"/>
      <c r="F17" s="56">
        <v>7</v>
      </c>
      <c r="G17" s="49">
        <f t="shared" si="0"/>
        <v>0</v>
      </c>
    </row>
    <row r="18" spans="1:7" s="1" customFormat="1" ht="12.75" customHeight="1" x14ac:dyDescent="0.2">
      <c r="A18" s="69" t="s">
        <v>17</v>
      </c>
      <c r="B18" s="70"/>
      <c r="C18" s="71"/>
      <c r="D18" s="43">
        <v>11100006</v>
      </c>
      <c r="E18" s="44"/>
      <c r="F18" s="56">
        <v>24.92</v>
      </c>
      <c r="G18" s="49">
        <f t="shared" si="0"/>
        <v>0</v>
      </c>
    </row>
    <row r="19" spans="1:7" s="1" customFormat="1" ht="12.75" customHeight="1" x14ac:dyDescent="0.2">
      <c r="A19" s="69" t="s">
        <v>18</v>
      </c>
      <c r="B19" s="70"/>
      <c r="C19" s="83"/>
      <c r="D19" s="43">
        <v>11700001</v>
      </c>
      <c r="E19" s="45"/>
      <c r="F19" s="56">
        <v>4.88</v>
      </c>
      <c r="G19" s="49">
        <f t="shared" si="0"/>
        <v>0</v>
      </c>
    </row>
    <row r="20" spans="1:7" s="1" customFormat="1" ht="12.75" customHeight="1" x14ac:dyDescent="0.2">
      <c r="A20" s="69" t="s">
        <v>19</v>
      </c>
      <c r="B20" s="70"/>
      <c r="C20" s="83"/>
      <c r="D20" s="43">
        <v>11700002</v>
      </c>
      <c r="E20" s="45"/>
      <c r="F20" s="56">
        <v>4.88</v>
      </c>
      <c r="G20" s="49">
        <f t="shared" ref="G20" si="2">E20*F20</f>
        <v>0</v>
      </c>
    </row>
    <row r="21" spans="1:7" s="1" customFormat="1" ht="15.95" customHeight="1" x14ac:dyDescent="0.2">
      <c r="A21" s="78" t="s">
        <v>20</v>
      </c>
      <c r="B21" s="79"/>
      <c r="C21" s="79"/>
      <c r="D21" s="76"/>
      <c r="E21" s="76"/>
      <c r="F21" s="76"/>
      <c r="G21" s="77"/>
    </row>
    <row r="22" spans="1:7" s="1" customFormat="1" ht="12.75" customHeight="1" x14ac:dyDescent="0.2">
      <c r="A22" s="69" t="s">
        <v>21</v>
      </c>
      <c r="B22" s="70"/>
      <c r="C22" s="71"/>
      <c r="D22" s="43">
        <v>11200029</v>
      </c>
      <c r="E22" s="45"/>
      <c r="F22" s="56">
        <v>23.1</v>
      </c>
      <c r="G22" s="49">
        <f t="shared" si="0"/>
        <v>0</v>
      </c>
    </row>
    <row r="23" spans="1:7" s="1" customFormat="1" ht="12.75" customHeight="1" x14ac:dyDescent="0.2">
      <c r="A23" s="11" t="s">
        <v>22</v>
      </c>
      <c r="B23" s="12"/>
      <c r="C23" s="13"/>
      <c r="D23" s="43">
        <v>11200031</v>
      </c>
      <c r="E23" s="44"/>
      <c r="F23" s="56">
        <v>20.41</v>
      </c>
      <c r="G23" s="49">
        <f t="shared" ref="G23" si="3">E23*F23</f>
        <v>0</v>
      </c>
    </row>
    <row r="24" spans="1:7" s="1" customFormat="1" ht="12.75" customHeight="1" x14ac:dyDescent="0.2">
      <c r="A24" s="11" t="s">
        <v>23</v>
      </c>
      <c r="B24" s="12"/>
      <c r="C24" s="13"/>
      <c r="D24" s="43">
        <v>11200030</v>
      </c>
      <c r="E24" s="44"/>
      <c r="F24" s="56">
        <v>14.33</v>
      </c>
      <c r="G24" s="49">
        <f t="shared" si="0"/>
        <v>0</v>
      </c>
    </row>
    <row r="25" spans="1:7" s="1" customFormat="1" ht="12.75" customHeight="1" x14ac:dyDescent="0.2">
      <c r="A25" s="11" t="s">
        <v>24</v>
      </c>
      <c r="B25" s="12"/>
      <c r="C25" s="13"/>
      <c r="D25" s="43">
        <v>11200036</v>
      </c>
      <c r="E25" s="44"/>
      <c r="F25" s="67">
        <v>12.99</v>
      </c>
      <c r="G25" s="49">
        <f t="shared" si="0"/>
        <v>0</v>
      </c>
    </row>
    <row r="26" spans="1:7" s="1" customFormat="1" ht="12.75" customHeight="1" x14ac:dyDescent="0.2">
      <c r="A26" s="11" t="s">
        <v>25</v>
      </c>
      <c r="B26" s="12"/>
      <c r="C26" s="13"/>
      <c r="D26" s="43">
        <v>11200032</v>
      </c>
      <c r="E26" s="44"/>
      <c r="F26" s="56">
        <v>15.57</v>
      </c>
      <c r="G26" s="49">
        <f t="shared" si="0"/>
        <v>0</v>
      </c>
    </row>
    <row r="27" spans="1:7" s="1" customFormat="1" ht="12.75" customHeight="1" x14ac:dyDescent="0.2">
      <c r="A27" s="11" t="s">
        <v>26</v>
      </c>
      <c r="B27" s="12"/>
      <c r="C27" s="13"/>
      <c r="D27" s="43">
        <v>11200033</v>
      </c>
      <c r="E27" s="44"/>
      <c r="F27" s="56">
        <v>18.8</v>
      </c>
      <c r="G27" s="49">
        <f t="shared" si="0"/>
        <v>0</v>
      </c>
    </row>
    <row r="28" spans="1:7" s="1" customFormat="1" ht="12.75" customHeight="1" x14ac:dyDescent="0.2">
      <c r="A28" s="11" t="s">
        <v>27</v>
      </c>
      <c r="B28" s="12"/>
      <c r="C28" s="13"/>
      <c r="D28" s="43">
        <v>11200034</v>
      </c>
      <c r="E28" s="44"/>
      <c r="F28" s="56">
        <v>13.92</v>
      </c>
      <c r="G28" s="49">
        <f t="shared" si="0"/>
        <v>0</v>
      </c>
    </row>
    <row r="29" spans="1:7" s="1" customFormat="1" ht="12.75" customHeight="1" x14ac:dyDescent="0.2">
      <c r="A29" s="11" t="s">
        <v>28</v>
      </c>
      <c r="B29" s="12"/>
      <c r="C29" s="13"/>
      <c r="D29" s="43">
        <v>11200019</v>
      </c>
      <c r="E29" s="44"/>
      <c r="F29" s="56">
        <v>26.36</v>
      </c>
      <c r="G29" s="49">
        <f t="shared" si="0"/>
        <v>0</v>
      </c>
    </row>
    <row r="30" spans="1:7" s="1" customFormat="1" ht="12.75" customHeight="1" x14ac:dyDescent="0.2">
      <c r="A30" s="11" t="s">
        <v>29</v>
      </c>
      <c r="B30" s="12"/>
      <c r="C30" s="13"/>
      <c r="D30" s="43">
        <v>11200020</v>
      </c>
      <c r="E30" s="44"/>
      <c r="F30" s="56">
        <v>29.59</v>
      </c>
      <c r="G30" s="49">
        <f t="shared" si="0"/>
        <v>0</v>
      </c>
    </row>
    <row r="31" spans="1:7" s="1" customFormat="1" ht="12.75" customHeight="1" x14ac:dyDescent="0.2">
      <c r="A31" s="11" t="s">
        <v>30</v>
      </c>
      <c r="B31" s="12"/>
      <c r="C31" s="13"/>
      <c r="D31" s="43">
        <v>11200021</v>
      </c>
      <c r="E31" s="44"/>
      <c r="F31" s="56">
        <v>15.82</v>
      </c>
      <c r="G31" s="49">
        <f t="shared" si="0"/>
        <v>0</v>
      </c>
    </row>
    <row r="32" spans="1:7" s="1" customFormat="1" ht="12.75" customHeight="1" x14ac:dyDescent="0.2">
      <c r="A32" s="11" t="s">
        <v>31</v>
      </c>
      <c r="B32" s="12"/>
      <c r="C32" s="13"/>
      <c r="D32" s="43">
        <v>11200022</v>
      </c>
      <c r="E32" s="44"/>
      <c r="F32" s="56">
        <v>21</v>
      </c>
      <c r="G32" s="49">
        <f t="shared" si="0"/>
        <v>0</v>
      </c>
    </row>
    <row r="33" spans="1:7" s="1" customFormat="1" ht="12.75" customHeight="1" x14ac:dyDescent="0.2">
      <c r="A33" s="11" t="s">
        <v>32</v>
      </c>
      <c r="B33" s="12"/>
      <c r="C33" s="13"/>
      <c r="D33" s="43">
        <v>11200023</v>
      </c>
      <c r="E33" s="44"/>
      <c r="F33" s="56">
        <v>23.5</v>
      </c>
      <c r="G33" s="49">
        <f t="shared" si="0"/>
        <v>0</v>
      </c>
    </row>
    <row r="34" spans="1:7" s="1" customFormat="1" ht="12.75" customHeight="1" x14ac:dyDescent="0.2">
      <c r="A34" s="11" t="s">
        <v>33</v>
      </c>
      <c r="B34" s="12"/>
      <c r="C34" s="13"/>
      <c r="D34" s="43">
        <v>11200024</v>
      </c>
      <c r="E34" s="44"/>
      <c r="F34" s="56">
        <v>34.380000000000003</v>
      </c>
      <c r="G34" s="49">
        <f t="shared" si="0"/>
        <v>0</v>
      </c>
    </row>
    <row r="35" spans="1:7" s="1" customFormat="1" ht="12.75" customHeight="1" x14ac:dyDescent="0.2">
      <c r="A35" s="11" t="s">
        <v>34</v>
      </c>
      <c r="B35" s="12"/>
      <c r="C35" s="13"/>
      <c r="D35" s="43">
        <v>11200025</v>
      </c>
      <c r="E35" s="44"/>
      <c r="F35" s="56">
        <v>39.75</v>
      </c>
      <c r="G35" s="49">
        <f t="shared" si="0"/>
        <v>0</v>
      </c>
    </row>
    <row r="36" spans="1:7" s="1" customFormat="1" ht="12.75" customHeight="1" x14ac:dyDescent="0.2">
      <c r="A36" s="11" t="s">
        <v>35</v>
      </c>
      <c r="B36" s="12"/>
      <c r="C36" s="13"/>
      <c r="D36" s="43">
        <v>11200027</v>
      </c>
      <c r="E36" s="44"/>
      <c r="F36" s="56">
        <v>17.73</v>
      </c>
      <c r="G36" s="49">
        <f t="shared" si="0"/>
        <v>0</v>
      </c>
    </row>
    <row r="37" spans="1:7" s="1" customFormat="1" ht="12.75" customHeight="1" x14ac:dyDescent="0.2">
      <c r="A37" s="11" t="s">
        <v>36</v>
      </c>
      <c r="B37" s="12"/>
      <c r="C37" s="13"/>
      <c r="D37" s="43">
        <v>11200028</v>
      </c>
      <c r="E37" s="44"/>
      <c r="F37" s="56">
        <v>20.41</v>
      </c>
      <c r="G37" s="49">
        <f t="shared" si="0"/>
        <v>0</v>
      </c>
    </row>
    <row r="38" spans="1:7" s="1" customFormat="1" ht="12.75" customHeight="1" x14ac:dyDescent="0.2">
      <c r="A38" s="11" t="s">
        <v>37</v>
      </c>
      <c r="B38" s="12"/>
      <c r="C38" s="13"/>
      <c r="D38" s="43">
        <v>11200026</v>
      </c>
      <c r="E38" s="44"/>
      <c r="F38" s="56">
        <v>14.5</v>
      </c>
      <c r="G38" s="49">
        <f t="shared" si="0"/>
        <v>0</v>
      </c>
    </row>
    <row r="39" spans="1:7" s="1" customFormat="1" ht="12.75" customHeight="1" x14ac:dyDescent="0.2">
      <c r="A39" s="69" t="s">
        <v>38</v>
      </c>
      <c r="B39" s="70"/>
      <c r="C39" s="71"/>
      <c r="D39" s="43">
        <v>11200006</v>
      </c>
      <c r="E39" s="44"/>
      <c r="F39" s="56">
        <v>35.659999999999997</v>
      </c>
      <c r="G39" s="49">
        <f t="shared" si="0"/>
        <v>0</v>
      </c>
    </row>
    <row r="40" spans="1:7" s="1" customFormat="1" ht="12.75" customHeight="1" x14ac:dyDescent="0.2">
      <c r="A40" s="69" t="s">
        <v>39</v>
      </c>
      <c r="B40" s="70"/>
      <c r="C40" s="71"/>
      <c r="D40" s="43">
        <v>11200007</v>
      </c>
      <c r="E40" s="44"/>
      <c r="F40" s="56">
        <v>38.71</v>
      </c>
      <c r="G40" s="49">
        <f t="shared" si="0"/>
        <v>0</v>
      </c>
    </row>
    <row r="41" spans="1:7" s="1" customFormat="1" ht="12.75" customHeight="1" x14ac:dyDescent="0.2">
      <c r="A41" s="11" t="s">
        <v>40</v>
      </c>
      <c r="B41" s="26"/>
      <c r="C41" s="27"/>
      <c r="D41" s="43">
        <v>11200038</v>
      </c>
      <c r="E41" s="44"/>
      <c r="F41" s="67">
        <v>32.229999999999997</v>
      </c>
      <c r="G41" s="49">
        <f t="shared" si="0"/>
        <v>0</v>
      </c>
    </row>
    <row r="42" spans="1:7" s="1" customFormat="1" ht="12.75" customHeight="1" x14ac:dyDescent="0.2">
      <c r="A42" s="25" t="s">
        <v>41</v>
      </c>
      <c r="B42" s="26"/>
      <c r="C42" s="27"/>
      <c r="D42" s="43">
        <v>11200035</v>
      </c>
      <c r="E42" s="44"/>
      <c r="F42" s="56">
        <v>14.5</v>
      </c>
      <c r="G42" s="49">
        <f t="shared" si="0"/>
        <v>0</v>
      </c>
    </row>
    <row r="43" spans="1:7" s="1" customFormat="1" ht="12.75" customHeight="1" x14ac:dyDescent="0.2">
      <c r="A43" s="69" t="s">
        <v>42</v>
      </c>
      <c r="B43" s="70"/>
      <c r="C43" s="71"/>
      <c r="D43" s="43">
        <v>11200011</v>
      </c>
      <c r="E43" s="44"/>
      <c r="F43" s="56">
        <v>36.21</v>
      </c>
      <c r="G43" s="49">
        <f t="shared" si="0"/>
        <v>0</v>
      </c>
    </row>
    <row r="44" spans="1:7" s="1" customFormat="1" ht="12.75" customHeight="1" x14ac:dyDescent="0.2">
      <c r="A44" s="80" t="s">
        <v>43</v>
      </c>
      <c r="B44" s="114"/>
      <c r="C44" s="82"/>
      <c r="D44" s="43">
        <v>11200012</v>
      </c>
      <c r="E44" s="44"/>
      <c r="F44" s="56">
        <v>38.619999999999997</v>
      </c>
      <c r="G44" s="49">
        <f t="shared" si="0"/>
        <v>0</v>
      </c>
    </row>
    <row r="45" spans="1:7" s="1" customFormat="1" ht="12.75" hidden="1" customHeight="1" x14ac:dyDescent="0.2">
      <c r="A45" s="14" t="s">
        <v>44</v>
      </c>
      <c r="B45" s="15"/>
      <c r="C45" s="16"/>
      <c r="D45" s="43"/>
      <c r="E45" s="44">
        <v>0</v>
      </c>
      <c r="F45" s="56"/>
      <c r="G45" s="49">
        <f t="shared" si="0"/>
        <v>0</v>
      </c>
    </row>
    <row r="46" spans="1:7" s="1" customFormat="1" ht="12.75" hidden="1" customHeight="1" x14ac:dyDescent="0.2">
      <c r="A46" s="14" t="s">
        <v>45</v>
      </c>
      <c r="B46" s="15"/>
      <c r="C46" s="16"/>
      <c r="D46" s="43"/>
      <c r="E46" s="44">
        <v>0</v>
      </c>
      <c r="F46" s="56"/>
      <c r="G46" s="49">
        <f t="shared" si="0"/>
        <v>0</v>
      </c>
    </row>
    <row r="47" spans="1:7" s="1" customFormat="1" ht="12.75" hidden="1" customHeight="1" x14ac:dyDescent="0.2">
      <c r="A47" s="80" t="s">
        <v>46</v>
      </c>
      <c r="B47" s="81"/>
      <c r="C47" s="82"/>
      <c r="D47" s="43"/>
      <c r="E47" s="44">
        <v>0</v>
      </c>
      <c r="F47" s="56"/>
      <c r="G47" s="49">
        <f t="shared" si="0"/>
        <v>0</v>
      </c>
    </row>
    <row r="48" spans="1:7" s="1" customFormat="1" ht="12.75" hidden="1" customHeight="1" x14ac:dyDescent="0.2">
      <c r="A48" s="80" t="s">
        <v>47</v>
      </c>
      <c r="B48" s="81"/>
      <c r="C48" s="82"/>
      <c r="D48" s="43"/>
      <c r="E48" s="44">
        <v>0</v>
      </c>
      <c r="F48" s="56"/>
      <c r="G48" s="49">
        <f t="shared" si="0"/>
        <v>0</v>
      </c>
    </row>
    <row r="49" spans="1:7" s="1" customFormat="1" ht="12.75" customHeight="1" x14ac:dyDescent="0.2">
      <c r="A49" s="69" t="s">
        <v>48</v>
      </c>
      <c r="B49" s="70"/>
      <c r="C49" s="71"/>
      <c r="D49" s="43">
        <v>11300001</v>
      </c>
      <c r="E49" s="44"/>
      <c r="F49" s="56">
        <v>9.16</v>
      </c>
      <c r="G49" s="49">
        <f t="shared" si="0"/>
        <v>0</v>
      </c>
    </row>
    <row r="50" spans="1:7" s="1" customFormat="1" ht="12.75" customHeight="1" x14ac:dyDescent="0.2">
      <c r="A50" s="69" t="s">
        <v>49</v>
      </c>
      <c r="B50" s="70"/>
      <c r="C50" s="71"/>
      <c r="D50" s="43">
        <v>11300003</v>
      </c>
      <c r="E50" s="44"/>
      <c r="F50" s="56">
        <v>8.19</v>
      </c>
      <c r="G50" s="49">
        <f t="shared" si="0"/>
        <v>0</v>
      </c>
    </row>
    <row r="51" spans="1:7" s="1" customFormat="1" ht="12.75" customHeight="1" x14ac:dyDescent="0.2">
      <c r="A51" s="69" t="s">
        <v>50</v>
      </c>
      <c r="B51" s="70"/>
      <c r="C51" s="71"/>
      <c r="D51" s="43">
        <v>11300002</v>
      </c>
      <c r="E51" s="44"/>
      <c r="F51" s="56">
        <v>30.14</v>
      </c>
      <c r="G51" s="49">
        <f t="shared" si="0"/>
        <v>0</v>
      </c>
    </row>
    <row r="52" spans="1:7" s="1" customFormat="1" ht="12.75" customHeight="1" x14ac:dyDescent="0.2">
      <c r="A52" s="78" t="s">
        <v>51</v>
      </c>
      <c r="B52" s="79"/>
      <c r="C52" s="79"/>
      <c r="D52" s="76"/>
      <c r="E52" s="76"/>
      <c r="F52" s="76"/>
      <c r="G52" s="77"/>
    </row>
    <row r="53" spans="1:7" s="1" customFormat="1" ht="12.75" customHeight="1" x14ac:dyDescent="0.2">
      <c r="A53" s="69" t="s">
        <v>52</v>
      </c>
      <c r="B53" s="70"/>
      <c r="C53" s="71"/>
      <c r="D53" s="43">
        <v>11500001</v>
      </c>
      <c r="E53" s="45"/>
      <c r="F53" s="56">
        <v>131.81</v>
      </c>
      <c r="G53" s="49">
        <f t="shared" si="0"/>
        <v>0</v>
      </c>
    </row>
    <row r="54" spans="1:7" s="1" customFormat="1" ht="12.75" customHeight="1" x14ac:dyDescent="0.2">
      <c r="A54" s="69" t="s">
        <v>53</v>
      </c>
      <c r="B54" s="70"/>
      <c r="C54" s="71"/>
      <c r="D54" s="43">
        <v>11500003</v>
      </c>
      <c r="E54" s="44"/>
      <c r="F54" s="56">
        <v>35.979999999999997</v>
      </c>
      <c r="G54" s="49">
        <f t="shared" si="0"/>
        <v>0</v>
      </c>
    </row>
    <row r="55" spans="1:7" s="1" customFormat="1" ht="12.75" customHeight="1" x14ac:dyDescent="0.2">
      <c r="A55" s="69" t="s">
        <v>54</v>
      </c>
      <c r="B55" s="70"/>
      <c r="C55" s="71"/>
      <c r="D55" s="43">
        <v>11500002</v>
      </c>
      <c r="E55" s="44"/>
      <c r="F55" s="56">
        <v>12</v>
      </c>
      <c r="G55" s="49">
        <f t="shared" si="0"/>
        <v>0</v>
      </c>
    </row>
    <row r="56" spans="1:7" s="1" customFormat="1" ht="12.75" hidden="1" customHeight="1" x14ac:dyDescent="0.2">
      <c r="A56" s="103" t="s">
        <v>55</v>
      </c>
      <c r="B56" s="104"/>
      <c r="C56" s="104"/>
      <c r="D56" s="104"/>
      <c r="E56" s="105"/>
      <c r="F56" s="57"/>
      <c r="G56" s="46"/>
    </row>
    <row r="57" spans="1:7" s="1" customFormat="1" ht="12.75" hidden="1" customHeight="1" x14ac:dyDescent="0.2">
      <c r="A57" s="17" t="s">
        <v>56</v>
      </c>
      <c r="B57" s="17"/>
      <c r="C57" s="17"/>
      <c r="D57" s="17"/>
      <c r="E57" s="18">
        <v>0</v>
      </c>
      <c r="F57" s="58"/>
      <c r="G57" s="46"/>
    </row>
    <row r="58" spans="1:7" s="1" customFormat="1" ht="12.75" hidden="1" customHeight="1" x14ac:dyDescent="0.2">
      <c r="A58" s="17" t="s">
        <v>57</v>
      </c>
      <c r="B58" s="19"/>
      <c r="C58" s="19"/>
      <c r="D58" s="19"/>
      <c r="E58" s="20">
        <v>0</v>
      </c>
      <c r="F58" s="58"/>
      <c r="G58" s="46"/>
    </row>
    <row r="59" spans="1:7" s="1" customFormat="1" ht="12.75" hidden="1" customHeight="1" x14ac:dyDescent="0.2">
      <c r="A59" s="17" t="s">
        <v>58</v>
      </c>
      <c r="B59" s="19"/>
      <c r="C59" s="19"/>
      <c r="D59" s="19"/>
      <c r="E59" s="21">
        <v>0</v>
      </c>
      <c r="F59" s="58"/>
      <c r="G59" s="46"/>
    </row>
    <row r="60" spans="1:7" s="1" customFormat="1" ht="12.75" hidden="1" customHeight="1" x14ac:dyDescent="0.2">
      <c r="A60" s="17" t="s">
        <v>59</v>
      </c>
      <c r="B60" s="19"/>
      <c r="C60" s="19"/>
      <c r="D60" s="19"/>
      <c r="E60" s="21">
        <v>0</v>
      </c>
      <c r="F60" s="58"/>
      <c r="G60" s="46"/>
    </row>
    <row r="61" spans="1:7" s="1" customFormat="1" ht="12.75" hidden="1" customHeight="1" x14ac:dyDescent="0.2">
      <c r="A61" s="17" t="s">
        <v>60</v>
      </c>
      <c r="B61" s="17"/>
      <c r="C61" s="17"/>
      <c r="D61" s="17"/>
      <c r="E61" s="22">
        <v>9.0015999999999998</v>
      </c>
      <c r="F61" s="58"/>
      <c r="G61" s="46"/>
    </row>
    <row r="62" spans="1:7" s="1" customFormat="1" ht="12.75" hidden="1" customHeight="1" x14ac:dyDescent="0.2">
      <c r="A62" s="17" t="s">
        <v>61</v>
      </c>
      <c r="B62" s="23"/>
      <c r="C62" s="23"/>
      <c r="D62" s="23"/>
      <c r="E62" s="24">
        <v>0</v>
      </c>
      <c r="F62" s="58"/>
      <c r="G62" s="46"/>
    </row>
    <row r="63" spans="1:7" s="1" customFormat="1" ht="12.75" hidden="1" customHeight="1" x14ac:dyDescent="0.2">
      <c r="A63" s="106" t="s">
        <v>62</v>
      </c>
      <c r="B63" s="107"/>
      <c r="C63" s="107"/>
      <c r="D63" s="107"/>
      <c r="E63" s="108"/>
      <c r="F63" s="57"/>
      <c r="G63" s="46"/>
    </row>
    <row r="64" spans="1:7" s="1" customFormat="1" ht="12.75" hidden="1" customHeight="1" x14ac:dyDescent="0.2">
      <c r="A64" s="17" t="s">
        <v>63</v>
      </c>
      <c r="B64" s="19"/>
      <c r="C64" s="19"/>
      <c r="D64" s="19"/>
      <c r="E64" s="21">
        <v>0</v>
      </c>
      <c r="F64" s="58"/>
      <c r="G64" s="46"/>
    </row>
    <row r="65" spans="1:7" s="1" customFormat="1" ht="12.75" hidden="1" customHeight="1" x14ac:dyDescent="0.2">
      <c r="A65" s="17" t="s">
        <v>64</v>
      </c>
      <c r="B65" s="17"/>
      <c r="C65" s="17"/>
      <c r="D65" s="17"/>
      <c r="E65" s="22">
        <v>0</v>
      </c>
      <c r="F65" s="58"/>
      <c r="G65" s="46"/>
    </row>
    <row r="66" spans="1:7" s="1" customFormat="1" ht="12.75" hidden="1" customHeight="1" x14ac:dyDescent="0.2">
      <c r="A66" s="17" t="s">
        <v>65</v>
      </c>
      <c r="B66" s="17"/>
      <c r="C66" s="17"/>
      <c r="D66" s="17"/>
      <c r="E66" s="22">
        <v>0</v>
      </c>
      <c r="F66" s="58"/>
      <c r="G66" s="46"/>
    </row>
    <row r="67" spans="1:7" s="1" customFormat="1" ht="12.75" hidden="1" customHeight="1" x14ac:dyDescent="0.2">
      <c r="A67" s="17" t="s">
        <v>66</v>
      </c>
      <c r="B67" s="23"/>
      <c r="C67" s="23"/>
      <c r="D67" s="23"/>
      <c r="E67" s="24">
        <v>0</v>
      </c>
      <c r="F67" s="58"/>
      <c r="G67" s="46"/>
    </row>
    <row r="68" spans="1:7" s="1" customFormat="1" ht="12.75" customHeight="1" x14ac:dyDescent="0.2">
      <c r="A68" s="91" t="s">
        <v>67</v>
      </c>
      <c r="B68" s="92"/>
      <c r="C68" s="92"/>
      <c r="D68" s="93"/>
      <c r="E68" s="93"/>
      <c r="F68" s="93"/>
      <c r="G68" s="94"/>
    </row>
    <row r="69" spans="1:7" s="1" customFormat="1" ht="12.75" customHeight="1" x14ac:dyDescent="0.2">
      <c r="A69" s="25" t="s">
        <v>68</v>
      </c>
      <c r="B69" s="26"/>
      <c r="C69" s="27"/>
      <c r="D69" s="43">
        <v>11800005</v>
      </c>
      <c r="E69" s="44"/>
      <c r="F69" s="67">
        <v>2.48</v>
      </c>
      <c r="G69" s="49">
        <f t="shared" ref="G69:G76" si="4">E69*F69</f>
        <v>0</v>
      </c>
    </row>
    <row r="70" spans="1:7" s="1" customFormat="1" ht="12.75" customHeight="1" x14ac:dyDescent="0.2">
      <c r="A70" s="25" t="s">
        <v>69</v>
      </c>
      <c r="B70" s="26"/>
      <c r="C70" s="27"/>
      <c r="D70" s="43">
        <v>11800003</v>
      </c>
      <c r="E70" s="44"/>
      <c r="F70" s="67">
        <v>2.48</v>
      </c>
      <c r="G70" s="49">
        <f t="shared" si="4"/>
        <v>0</v>
      </c>
    </row>
    <row r="71" spans="1:7" s="1" customFormat="1" ht="12.75" customHeight="1" x14ac:dyDescent="0.2">
      <c r="A71" s="69" t="s">
        <v>70</v>
      </c>
      <c r="B71" s="70"/>
      <c r="C71" s="71"/>
      <c r="D71" s="43">
        <v>11800006</v>
      </c>
      <c r="E71" s="44"/>
      <c r="F71" s="67">
        <v>2.48</v>
      </c>
      <c r="G71" s="49">
        <f t="shared" si="4"/>
        <v>0</v>
      </c>
    </row>
    <row r="72" spans="1:7" s="1" customFormat="1" ht="12.75" customHeight="1" x14ac:dyDescent="0.2">
      <c r="A72" s="69" t="s">
        <v>71</v>
      </c>
      <c r="B72" s="70"/>
      <c r="C72" s="71"/>
      <c r="D72" s="43">
        <v>31000001</v>
      </c>
      <c r="E72" s="44"/>
      <c r="F72" s="56">
        <v>19.82</v>
      </c>
      <c r="G72" s="49">
        <f t="shared" si="4"/>
        <v>0</v>
      </c>
    </row>
    <row r="73" spans="1:7" s="1" customFormat="1" x14ac:dyDescent="0.2">
      <c r="A73" s="91" t="s">
        <v>72</v>
      </c>
      <c r="B73" s="92"/>
      <c r="C73" s="92"/>
      <c r="D73" s="93"/>
      <c r="E73" s="93"/>
      <c r="F73" s="93"/>
      <c r="G73" s="94"/>
    </row>
    <row r="74" spans="1:7" s="1" customFormat="1" ht="12.75" customHeight="1" x14ac:dyDescent="0.2">
      <c r="A74" s="25" t="s">
        <v>73</v>
      </c>
      <c r="B74" s="26"/>
      <c r="C74" s="28"/>
      <c r="D74" s="43">
        <v>11800004</v>
      </c>
      <c r="E74" s="44"/>
      <c r="F74" s="67">
        <v>2.48</v>
      </c>
      <c r="G74" s="49">
        <f t="shared" si="4"/>
        <v>0</v>
      </c>
    </row>
    <row r="75" spans="1:7" s="1" customFormat="1" ht="12.75" customHeight="1" x14ac:dyDescent="0.2">
      <c r="A75" s="78" t="s">
        <v>74</v>
      </c>
      <c r="B75" s="79"/>
      <c r="C75" s="79"/>
      <c r="D75" s="76"/>
      <c r="E75" s="76"/>
      <c r="F75" s="76"/>
      <c r="G75" s="77"/>
    </row>
    <row r="76" spans="1:7" s="1" customFormat="1" ht="12.75" customHeight="1" x14ac:dyDescent="0.2">
      <c r="A76" s="98" t="s">
        <v>75</v>
      </c>
      <c r="B76" s="99"/>
      <c r="C76" s="71"/>
      <c r="D76" s="60">
        <v>12200001</v>
      </c>
      <c r="E76" s="45"/>
      <c r="F76" s="67">
        <v>1</v>
      </c>
      <c r="G76" s="49">
        <f t="shared" si="4"/>
        <v>0</v>
      </c>
    </row>
    <row r="77" spans="1:7" s="1" customFormat="1" ht="12.75" customHeight="1" x14ac:dyDescent="0.2">
      <c r="A77" s="95"/>
      <c r="B77" s="96"/>
      <c r="C77" s="97"/>
      <c r="D77" s="29"/>
      <c r="E77" s="10"/>
      <c r="F77" s="62"/>
      <c r="G77" s="50">
        <f t="shared" ref="G77:G78" si="5">E77*F77</f>
        <v>0</v>
      </c>
    </row>
    <row r="78" spans="1:7" s="1" customFormat="1" ht="12.75" customHeight="1" thickBot="1" x14ac:dyDescent="0.25">
      <c r="A78" s="88"/>
      <c r="B78" s="89"/>
      <c r="C78" s="90"/>
      <c r="D78" s="30"/>
      <c r="E78" s="31"/>
      <c r="F78" s="63"/>
      <c r="G78" s="50">
        <f t="shared" si="5"/>
        <v>0</v>
      </c>
    </row>
    <row r="79" spans="1:7" ht="14.1" customHeight="1" thickTop="1" x14ac:dyDescent="0.2">
      <c r="A79" s="32" t="s">
        <v>98</v>
      </c>
      <c r="B79" s="33"/>
      <c r="C79" s="34"/>
      <c r="D79" s="34"/>
      <c r="E79" s="86" t="s">
        <v>76</v>
      </c>
      <c r="F79" s="86"/>
      <c r="G79" s="51">
        <f>SUM(G9:G19)+SUM(G22:G51)+SUM(G53:G55)+SUM(G69:G74)+SUM(G76:G78)</f>
        <v>0</v>
      </c>
    </row>
    <row r="80" spans="1:7" ht="14.1" customHeight="1" thickBot="1" x14ac:dyDescent="0.25">
      <c r="A80" s="5"/>
      <c r="B80" s="5"/>
      <c r="C80" s="5"/>
      <c r="D80" s="5"/>
      <c r="E80" s="5" t="s">
        <v>77</v>
      </c>
      <c r="F80" s="59">
        <v>0.21</v>
      </c>
      <c r="G80" s="52">
        <f>G79*F80</f>
        <v>0</v>
      </c>
    </row>
    <row r="81" spans="1:7" ht="6.95" customHeight="1" thickTop="1" thickBot="1" x14ac:dyDescent="0.25">
      <c r="A81" s="5"/>
      <c r="B81" s="5"/>
      <c r="C81" s="5"/>
      <c r="D81" s="5"/>
      <c r="E81" s="5"/>
      <c r="F81" s="59"/>
      <c r="G81" s="53"/>
    </row>
    <row r="82" spans="1:7" ht="14.1" customHeight="1" thickTop="1" thickBot="1" x14ac:dyDescent="0.25">
      <c r="A82" s="5"/>
      <c r="B82" s="5"/>
      <c r="C82" s="35" t="s">
        <v>78</v>
      </c>
      <c r="D82" s="85"/>
      <c r="E82" s="85"/>
      <c r="F82" s="85"/>
      <c r="G82" s="54">
        <f>G79+G80</f>
        <v>0</v>
      </c>
    </row>
    <row r="83" spans="1:7" ht="6.95" customHeight="1" thickBot="1" x14ac:dyDescent="0.25">
      <c r="A83" s="5"/>
      <c r="B83" s="5"/>
      <c r="C83" s="5"/>
      <c r="D83" s="5"/>
      <c r="E83" s="5"/>
      <c r="F83" s="35"/>
      <c r="G83" s="47"/>
    </row>
    <row r="84" spans="1:7" ht="14.1" customHeight="1" thickTop="1" thickBot="1" x14ac:dyDescent="0.25">
      <c r="A84" s="5"/>
      <c r="B84" s="5"/>
      <c r="C84" s="35" t="s">
        <v>79</v>
      </c>
      <c r="D84" s="87"/>
      <c r="E84" s="87"/>
      <c r="F84" s="87"/>
      <c r="G84" s="55"/>
    </row>
    <row r="85" spans="1:7" ht="6.95" customHeight="1" thickTop="1" thickBot="1" x14ac:dyDescent="0.25">
      <c r="A85" s="5"/>
      <c r="B85" s="5"/>
      <c r="C85" s="35"/>
      <c r="D85" s="36"/>
      <c r="E85" s="37"/>
      <c r="F85" s="36"/>
      <c r="G85" s="47"/>
    </row>
    <row r="86" spans="1:7" ht="14.1" customHeight="1" thickTop="1" thickBot="1" x14ac:dyDescent="0.25">
      <c r="A86" s="5"/>
      <c r="B86" s="5"/>
      <c r="C86" s="35" t="s">
        <v>80</v>
      </c>
      <c r="D86" s="87"/>
      <c r="E86" s="87"/>
      <c r="F86" s="87"/>
      <c r="G86" s="55"/>
    </row>
    <row r="87" spans="1:7" ht="6.95" customHeight="1" thickTop="1" thickBot="1" x14ac:dyDescent="0.25">
      <c r="A87" s="5"/>
      <c r="B87" s="5"/>
      <c r="C87" s="35"/>
      <c r="D87" s="35"/>
      <c r="E87" s="5"/>
      <c r="F87" s="35"/>
      <c r="G87" s="47"/>
    </row>
    <row r="88" spans="1:7" ht="14.1" customHeight="1" thickTop="1" thickBot="1" x14ac:dyDescent="0.25">
      <c r="A88" s="5"/>
      <c r="B88" s="5"/>
      <c r="C88" s="35" t="s">
        <v>81</v>
      </c>
      <c r="D88" s="84"/>
      <c r="E88" s="85"/>
      <c r="F88" s="85"/>
      <c r="G88" s="54">
        <f>G82+G84-G86</f>
        <v>0</v>
      </c>
    </row>
    <row r="89" spans="1:7" ht="6.95" customHeight="1" x14ac:dyDescent="0.2">
      <c r="A89" s="5"/>
      <c r="B89" s="5"/>
      <c r="C89" s="5"/>
      <c r="D89" s="5"/>
      <c r="E89" s="5"/>
      <c r="F89" s="35"/>
      <c r="G89" s="35"/>
    </row>
    <row r="90" spans="1:7" x14ac:dyDescent="0.2">
      <c r="A90" s="5"/>
      <c r="B90" s="5"/>
      <c r="C90" s="38" t="s">
        <v>82</v>
      </c>
      <c r="D90" s="113"/>
      <c r="E90" s="113"/>
      <c r="F90" s="38"/>
      <c r="G90" s="38"/>
    </row>
    <row r="91" spans="1:7" ht="6.75" customHeight="1" x14ac:dyDescent="0.2">
      <c r="A91" s="5"/>
      <c r="B91" s="5"/>
      <c r="C91" s="38"/>
      <c r="D91" s="39"/>
      <c r="E91" s="39"/>
      <c r="F91" s="38"/>
      <c r="G91" s="38"/>
    </row>
    <row r="92" spans="1:7" x14ac:dyDescent="0.2">
      <c r="A92" s="38"/>
      <c r="B92" s="38"/>
      <c r="C92" s="102"/>
      <c r="D92" s="102"/>
      <c r="E92" s="102"/>
      <c r="F92" s="38"/>
      <c r="G92" s="38"/>
    </row>
    <row r="93" spans="1:7" ht="6.95" customHeight="1" x14ac:dyDescent="0.2">
      <c r="A93" s="5"/>
      <c r="B93" s="5"/>
      <c r="C93" s="5"/>
      <c r="D93" s="5"/>
      <c r="E93" s="5"/>
      <c r="F93" s="35"/>
      <c r="G93" s="35"/>
    </row>
    <row r="94" spans="1:7" ht="28.5" x14ac:dyDescent="0.45">
      <c r="A94" s="5"/>
      <c r="B94" s="5"/>
      <c r="C94" s="40" t="s">
        <v>83</v>
      </c>
      <c r="D94" s="5"/>
      <c r="E94" s="5"/>
      <c r="F94" s="35"/>
      <c r="G94" s="35"/>
    </row>
    <row r="95" spans="1:7" x14ac:dyDescent="0.2">
      <c r="A95" s="5"/>
      <c r="B95" s="5"/>
      <c r="C95" s="41" t="s">
        <v>84</v>
      </c>
      <c r="D95" s="5"/>
      <c r="E95" s="5"/>
      <c r="F95" s="35"/>
      <c r="G95" s="35"/>
    </row>
    <row r="96" spans="1:7" x14ac:dyDescent="0.2">
      <c r="A96" s="5"/>
      <c r="B96" s="5"/>
      <c r="C96" s="41" t="s">
        <v>85</v>
      </c>
      <c r="D96" s="5"/>
      <c r="E96" s="5"/>
      <c r="F96" s="35"/>
      <c r="G96" s="35"/>
    </row>
    <row r="97" spans="1:7" x14ac:dyDescent="0.2">
      <c r="A97" s="5"/>
      <c r="B97" s="5"/>
      <c r="C97" s="5"/>
      <c r="D97" s="5"/>
      <c r="E97" s="5"/>
      <c r="F97" s="35"/>
      <c r="G97" s="35"/>
    </row>
    <row r="98" spans="1:7" x14ac:dyDescent="0.2">
      <c r="A98" s="5"/>
      <c r="B98" s="5"/>
      <c r="C98" s="5"/>
      <c r="D98" s="5"/>
      <c r="E98" s="5"/>
      <c r="F98" s="35"/>
      <c r="G98" s="35"/>
    </row>
    <row r="99" spans="1:7" x14ac:dyDescent="0.2">
      <c r="A99" s="5"/>
      <c r="B99" s="5"/>
      <c r="C99" s="5"/>
      <c r="D99" s="5"/>
      <c r="E99" s="5"/>
      <c r="F99" s="35"/>
      <c r="G99" s="35"/>
    </row>
    <row r="100" spans="1:7" x14ac:dyDescent="0.2">
      <c r="A100" s="5"/>
      <c r="B100" s="5"/>
      <c r="C100" s="5"/>
      <c r="D100" s="5"/>
      <c r="E100" s="5"/>
      <c r="F100" s="35"/>
      <c r="G100" s="35"/>
    </row>
    <row r="103" spans="1:7" ht="13.5" thickBot="1" x14ac:dyDescent="0.25"/>
    <row r="104" spans="1:7" ht="13.5" thickBot="1" x14ac:dyDescent="0.25">
      <c r="A104" s="68" t="s">
        <v>99</v>
      </c>
    </row>
    <row r="106" spans="1:7" x14ac:dyDescent="0.2">
      <c r="A106" t="s">
        <v>86</v>
      </c>
      <c r="D106">
        <v>11900002</v>
      </c>
      <c r="E106">
        <v>2.1800000000000002</v>
      </c>
      <c r="G106" s="65"/>
    </row>
    <row r="107" spans="1:7" x14ac:dyDescent="0.2">
      <c r="A107" t="s">
        <v>87</v>
      </c>
      <c r="D107">
        <v>11100001</v>
      </c>
      <c r="E107" s="64">
        <v>11</v>
      </c>
      <c r="G107" s="65"/>
    </row>
    <row r="108" spans="1:7" x14ac:dyDescent="0.2">
      <c r="A108" t="s">
        <v>88</v>
      </c>
      <c r="D108">
        <v>11100004</v>
      </c>
      <c r="E108" s="64">
        <v>4.87</v>
      </c>
      <c r="F108" s="66"/>
    </row>
    <row r="109" spans="1:7" x14ac:dyDescent="0.2">
      <c r="A109" t="s">
        <v>89</v>
      </c>
      <c r="D109">
        <v>11100005</v>
      </c>
      <c r="E109" s="64">
        <v>5.5</v>
      </c>
    </row>
    <row r="110" spans="1:7" x14ac:dyDescent="0.2">
      <c r="A110" t="s">
        <v>90</v>
      </c>
      <c r="D110">
        <v>11100007</v>
      </c>
      <c r="E110" s="64">
        <v>8.5</v>
      </c>
    </row>
    <row r="111" spans="1:7" x14ac:dyDescent="0.2">
      <c r="A111" t="s">
        <v>91</v>
      </c>
      <c r="D111">
        <v>11400001</v>
      </c>
      <c r="E111" s="64">
        <v>11</v>
      </c>
      <c r="G111" s="65"/>
    </row>
    <row r="112" spans="1:7" x14ac:dyDescent="0.2">
      <c r="A112" t="s">
        <v>92</v>
      </c>
      <c r="D112">
        <v>11400002</v>
      </c>
      <c r="E112" s="64">
        <v>22</v>
      </c>
      <c r="G112" s="65"/>
    </row>
    <row r="113" spans="1:7" x14ac:dyDescent="0.2">
      <c r="A113" t="s">
        <v>93</v>
      </c>
      <c r="D113">
        <v>11400003</v>
      </c>
      <c r="E113" s="64">
        <v>33</v>
      </c>
      <c r="G113" s="65"/>
    </row>
    <row r="114" spans="1:7" x14ac:dyDescent="0.2">
      <c r="A114" t="s">
        <v>94</v>
      </c>
      <c r="D114">
        <v>11400005</v>
      </c>
      <c r="E114" s="64">
        <v>8.5</v>
      </c>
    </row>
    <row r="115" spans="1:7" x14ac:dyDescent="0.2">
      <c r="A115" t="s">
        <v>95</v>
      </c>
      <c r="D115">
        <v>11400006</v>
      </c>
      <c r="E115" s="64">
        <v>17</v>
      </c>
    </row>
    <row r="116" spans="1:7" x14ac:dyDescent="0.2">
      <c r="A116" t="s">
        <v>96</v>
      </c>
      <c r="D116">
        <v>11400007</v>
      </c>
      <c r="E116" s="64">
        <v>25.5</v>
      </c>
    </row>
    <row r="117" spans="1:7" x14ac:dyDescent="0.2">
      <c r="E117" s="64"/>
    </row>
    <row r="118" spans="1:7" x14ac:dyDescent="0.2">
      <c r="E118" s="64"/>
    </row>
    <row r="119" spans="1:7" x14ac:dyDescent="0.2">
      <c r="A119" t="s">
        <v>100</v>
      </c>
      <c r="E119" s="64"/>
    </row>
    <row r="120" spans="1:7" x14ac:dyDescent="0.2">
      <c r="E120" s="64"/>
    </row>
    <row r="121" spans="1:7" x14ac:dyDescent="0.2">
      <c r="E121" s="64"/>
    </row>
    <row r="122" spans="1:7" x14ac:dyDescent="0.2">
      <c r="E122" s="64"/>
    </row>
    <row r="123" spans="1:7" x14ac:dyDescent="0.2">
      <c r="E123" s="64"/>
    </row>
    <row r="124" spans="1:7" x14ac:dyDescent="0.2">
      <c r="E124" s="64"/>
    </row>
    <row r="125" spans="1:7" x14ac:dyDescent="0.2">
      <c r="E125" s="64"/>
    </row>
    <row r="126" spans="1:7" x14ac:dyDescent="0.2">
      <c r="E126" s="64"/>
    </row>
    <row r="127" spans="1:7" x14ac:dyDescent="0.2">
      <c r="E127" s="64"/>
    </row>
    <row r="128" spans="1:7" x14ac:dyDescent="0.2">
      <c r="E128" s="64"/>
    </row>
    <row r="129" spans="5:5" x14ac:dyDescent="0.2">
      <c r="E129" s="64"/>
    </row>
    <row r="130" spans="5:5" x14ac:dyDescent="0.2">
      <c r="E130" s="64"/>
    </row>
    <row r="131" spans="5:5" x14ac:dyDescent="0.2">
      <c r="E131" s="64"/>
    </row>
    <row r="132" spans="5:5" x14ac:dyDescent="0.2">
      <c r="E132" s="64"/>
    </row>
    <row r="133" spans="5:5" x14ac:dyDescent="0.2">
      <c r="E133" s="64"/>
    </row>
    <row r="134" spans="5:5" x14ac:dyDescent="0.2">
      <c r="E134" s="64"/>
    </row>
    <row r="135" spans="5:5" x14ac:dyDescent="0.2">
      <c r="E135" s="64"/>
    </row>
    <row r="136" spans="5:5" x14ac:dyDescent="0.2">
      <c r="E136" s="64"/>
    </row>
  </sheetData>
  <sheetProtection algorithmName="SHA-512" hashValue="IwsNX4Z7/ihpBMLyFIdcH3xs//ko9coaKuYqD+BQsc+ZM2oKXN4x2OejcrgcqIIn+GWbxGlTkUUPfI6sgogx/w==" saltValue="LputmfBWRnvoQ5LqZ3eAUA==" spinCount="100000" sheet="1" selectLockedCells="1"/>
  <mergeCells count="47">
    <mergeCell ref="C3:G3"/>
    <mergeCell ref="C92:E92"/>
    <mergeCell ref="A56:E56"/>
    <mergeCell ref="A63:E63"/>
    <mergeCell ref="D4:G4"/>
    <mergeCell ref="A7:C7"/>
    <mergeCell ref="D90:E90"/>
    <mergeCell ref="A22:C22"/>
    <mergeCell ref="A39:C39"/>
    <mergeCell ref="A40:C40"/>
    <mergeCell ref="A43:C43"/>
    <mergeCell ref="A44:C44"/>
    <mergeCell ref="A17:C17"/>
    <mergeCell ref="A55:C55"/>
    <mergeCell ref="A20:C20"/>
    <mergeCell ref="D86:F86"/>
    <mergeCell ref="D88:F88"/>
    <mergeCell ref="D82:F82"/>
    <mergeCell ref="E79:F79"/>
    <mergeCell ref="D84:F84"/>
    <mergeCell ref="A11:C11"/>
    <mergeCell ref="A78:C78"/>
    <mergeCell ref="A71:C71"/>
    <mergeCell ref="A68:G68"/>
    <mergeCell ref="A77:C77"/>
    <mergeCell ref="A75:G75"/>
    <mergeCell ref="A73:G73"/>
    <mergeCell ref="A72:C72"/>
    <mergeCell ref="A76:C76"/>
    <mergeCell ref="A51:C51"/>
    <mergeCell ref="A13:C13"/>
    <mergeCell ref="A49:C49"/>
    <mergeCell ref="A14:C14"/>
    <mergeCell ref="A5:G5"/>
    <mergeCell ref="A54:C54"/>
    <mergeCell ref="A8:G8"/>
    <mergeCell ref="A52:G52"/>
    <mergeCell ref="A21:G21"/>
    <mergeCell ref="A53:C53"/>
    <mergeCell ref="A15:C15"/>
    <mergeCell ref="A16:C16"/>
    <mergeCell ref="A47:C47"/>
    <mergeCell ref="A48:C48"/>
    <mergeCell ref="A18:C18"/>
    <mergeCell ref="A19:C19"/>
    <mergeCell ref="A9:C9"/>
    <mergeCell ref="A50:C50"/>
  </mergeCells>
  <printOptions horizontalCentered="1"/>
  <pageMargins left="0.23622047244094491" right="0.23622047244094491" top="0.15748031496062992" bottom="0.15748031496062992" header="0.31496062992125984" footer="0.31496062992125984"/>
  <pageSetup paperSize="9" scale="75" fitToHeight="0" orientation="portrait" r:id="rId1"/>
  <headerFooter alignWithMargins="0">
    <oddFooter xml:space="preserve">&amp;L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2026 TARIFAS CANINAS_v3 </vt:lpstr>
      <vt:lpstr>'2026 TARIFAS CANINAS_v3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Moreno</dc:creator>
  <cp:keywords/>
  <dc:description/>
  <cp:lastModifiedBy>Juan Francisco Arias Morro</cp:lastModifiedBy>
  <cp:revision/>
  <cp:lastPrinted>2026-07-02T11:53:46Z</cp:lastPrinted>
  <dcterms:created xsi:type="dcterms:W3CDTF">2010-06-07T09:58:26Z</dcterms:created>
  <dcterms:modified xsi:type="dcterms:W3CDTF">2026-07-03T08:07:22Z</dcterms:modified>
  <cp:category/>
  <cp:contentStatus/>
</cp:coreProperties>
</file>