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U:\Documents\+ GESTION\01 ADMINITRACION\ASUNTOS ECONOMICOS\TARIFAS\"/>
    </mc:Choice>
  </mc:AlternateContent>
  <bookViews>
    <workbookView xWindow="120" yWindow="75" windowWidth="11595" windowHeight="9750"/>
  </bookViews>
  <sheets>
    <sheet name="2018 TARIFAS CANINAS " sheetId="1" r:id="rId1"/>
  </sheets>
  <definedNames>
    <definedName name="_xlnm.Print_Area" localSheetId="0">'2018 TARIFAS CANINAS '!$A$1:$H$80</definedName>
  </definedNames>
  <calcPr calcId="162913"/>
</workbook>
</file>

<file path=xl/calcChain.xml><?xml version="1.0" encoding="utf-8"?>
<calcChain xmlns="http://schemas.openxmlformats.org/spreadsheetml/2006/main">
  <c r="H6" i="1" l="1"/>
  <c r="H56" i="1"/>
  <c r="H16" i="1" l="1"/>
  <c r="H15" i="1"/>
  <c r="H14" i="1"/>
  <c r="H35" i="1"/>
  <c r="H13" i="1"/>
  <c r="H60" i="1"/>
  <c r="H59" i="1"/>
  <c r="H58" i="1"/>
  <c r="H57" i="1"/>
  <c r="H54" i="1"/>
  <c r="H53" i="1"/>
  <c r="H52" i="1"/>
  <c r="H38" i="1"/>
  <c r="H36" i="1"/>
  <c r="H33" i="1"/>
  <c r="H32" i="1"/>
  <c r="H31" i="1"/>
  <c r="H29" i="1"/>
  <c r="H28" i="1"/>
  <c r="H27" i="1"/>
  <c r="H26" i="1"/>
  <c r="H25" i="1"/>
  <c r="H24" i="1"/>
  <c r="H23" i="1"/>
  <c r="H22" i="1"/>
  <c r="H21" i="1"/>
  <c r="H20" i="1"/>
  <c r="H18" i="1"/>
  <c r="H17" i="1"/>
  <c r="H12" i="1"/>
  <c r="H11" i="1"/>
  <c r="H10" i="1"/>
  <c r="H61" i="1" s="1"/>
  <c r="H9" i="1"/>
  <c r="H8" i="1"/>
  <c r="H7" i="1"/>
  <c r="H62" i="1" l="1"/>
  <c r="H64" i="1" s="1"/>
  <c r="H70" i="1" s="1"/>
</calcChain>
</file>

<file path=xl/sharedStrings.xml><?xml version="1.0" encoding="utf-8"?>
<sst xmlns="http://schemas.openxmlformats.org/spreadsheetml/2006/main" count="106" uniqueCount="106">
  <si>
    <t>PEDIGREES Y TRANSFERENCIA DE PROPIEDAD</t>
  </si>
  <si>
    <t>PEDIGREE PARA PERROS INSCRITOS EN EL R.R.C. (SIN GENEALOGIA COMPLETA)</t>
  </si>
  <si>
    <t>PEDIGREE DE EXPORTACION (3 generaciones)</t>
  </si>
  <si>
    <t>PEDIGREE DE EXPORTACION (4 generaciones)</t>
  </si>
  <si>
    <t>TRANSFERENCIA DE PROPIEDAD EN PEDIGREE, REGISTRO INICIAL O PERRO IMPORTADO</t>
  </si>
  <si>
    <t>CESION TEMPORAL DE PROPIEDAD DE  LOS REPRODUCTORES</t>
  </si>
  <si>
    <t>INCRIPCIONES EN EL L.O.E./R.R.C.</t>
  </si>
  <si>
    <t>FORMULARIO IDENTIFICACION (por cachorro al notificar nacimiento) RSCE</t>
  </si>
  <si>
    <t>FORMULARIO IDENTIFICACION (por cachorro al notificar nacimiento) EN ORIGEN</t>
  </si>
  <si>
    <t>INSCRIPCION CACHORRO</t>
  </si>
  <si>
    <t xml:space="preserve">     RECARGO 100% (más de 6 meses y menos de 9) Art. 6.)13 Reglamento L.O.E.</t>
  </si>
  <si>
    <t xml:space="preserve">     RECARGO 200% (más de 9 meses, menos de 12) Art. 6.)13 Reglamento L.O.E.</t>
  </si>
  <si>
    <t>DUPLICADO JUSTIFICANTE DE INSCRIPCION</t>
  </si>
  <si>
    <t>BAJA DE UN PERRO EN EL L.O.E./R.R.C.</t>
  </si>
  <si>
    <t>AFIJOS</t>
  </si>
  <si>
    <t>SOLICITUD DE AFIJO</t>
  </si>
  <si>
    <t>RECTIFICACION DE AFIJO</t>
  </si>
  <si>
    <t>DUPLICADO DE AFIJO</t>
  </si>
  <si>
    <t>REGISTROS INICIALES Y CONFIRMACIONES DE RAZA</t>
  </si>
  <si>
    <t>CONFIRMACION DE RAZA (PERROS RAZAS ESPAÑOLAS)</t>
  </si>
  <si>
    <t>IMPRESOS</t>
  </si>
  <si>
    <t>IMPRESO ALTA DE CAMADA</t>
  </si>
  <si>
    <t>TRABAJO R.C.I. / OBEDICENCIA</t>
  </si>
  <si>
    <t>LICENCIA DEPORTIVA INICIAL</t>
  </si>
  <si>
    <t>RENOVACION ANUAL LICENCIA DEPORTIVA</t>
  </si>
  <si>
    <t>CUOTA ANUAL GRUPO DE TRABAJO R.C.I. / OBEDIENCIA</t>
  </si>
  <si>
    <t>CUOTA ANUAL CONJUNTA GRUPO DE TRABAJO R.C.I. / OBEDIENCIA</t>
  </si>
  <si>
    <t xml:space="preserve">CERTIFICADO DE TRABAJO </t>
  </si>
  <si>
    <t>CARTILLA DE TRABAJO R.C.I.</t>
  </si>
  <si>
    <t>AGILITY</t>
  </si>
  <si>
    <t>LICENCIA NUEVA INDIVIDUAL DE AGILITY</t>
  </si>
  <si>
    <t>RENOVACION LICENCIA INDIVIDUAL DE AGILITY</t>
  </si>
  <si>
    <t>CARTILLAS DE AGILITY</t>
  </si>
  <si>
    <t>CUOTA ANUAL CLUB AGILITY</t>
  </si>
  <si>
    <t>IMPRESO PARA PRUEBAS  DE C.A.C.T. - C.A.C.I.T.</t>
  </si>
  <si>
    <t>IMPRESO DIPLOMA DE INICIACION (Original y 3 copias)</t>
  </si>
  <si>
    <t>IMPRESO PRUEBAS APTITUDES NATURALES (Original y 3 copias)</t>
  </si>
  <si>
    <t>VARIOS</t>
  </si>
  <si>
    <t>CONCEPTO</t>
  </si>
  <si>
    <t>CANTIDAD</t>
  </si>
  <si>
    <t>PRECIO</t>
  </si>
  <si>
    <t>IMPORTE</t>
  </si>
  <si>
    <t>SUMA … … … … … … …</t>
  </si>
  <si>
    <t>FACTURAS PENDIENTES NUMEROS</t>
  </si>
  <si>
    <t>ABONOS PENDIENTES NUMEROS</t>
  </si>
  <si>
    <t>INSCRIPCION IMPORTADOS</t>
  </si>
  <si>
    <r>
      <t xml:space="preserve">PEDIGREE </t>
    </r>
    <r>
      <rPr>
        <b/>
        <sz val="8.5"/>
        <rFont val="Arial"/>
        <family val="2"/>
      </rPr>
      <t>CON</t>
    </r>
    <r>
      <rPr>
        <sz val="8.5"/>
        <rFont val="Arial"/>
        <family val="2"/>
      </rPr>
      <t xml:space="preserve"> TRANSFERENCIA TRES GENERACIONES</t>
    </r>
  </si>
  <si>
    <r>
      <t xml:space="preserve">PEDIGREE </t>
    </r>
    <r>
      <rPr>
        <b/>
        <sz val="8.5"/>
        <rFont val="Arial"/>
        <family val="2"/>
      </rPr>
      <t>CON</t>
    </r>
    <r>
      <rPr>
        <sz val="8.5"/>
        <rFont val="Arial"/>
        <family val="2"/>
      </rPr>
      <t xml:space="preserve"> TRANSFERENCIA CUATRO GENERACIONES  (SI CONSTAN EN EL L.O.E.)</t>
    </r>
  </si>
  <si>
    <r>
      <t xml:space="preserve">PEDIGREE </t>
    </r>
    <r>
      <rPr>
        <b/>
        <sz val="8.5"/>
        <rFont val="Arial"/>
        <family val="2"/>
      </rPr>
      <t>SIN</t>
    </r>
    <r>
      <rPr>
        <sz val="8.5"/>
        <rFont val="Arial"/>
        <family val="2"/>
      </rPr>
      <t xml:space="preserve"> TRANSFERENCIA</t>
    </r>
  </si>
  <si>
    <r>
      <t xml:space="preserve">PEDIGREE </t>
    </r>
    <r>
      <rPr>
        <b/>
        <sz val="8.5"/>
        <rFont val="Arial"/>
        <family val="2"/>
      </rPr>
      <t>SIN</t>
    </r>
    <r>
      <rPr>
        <sz val="8.5"/>
        <rFont val="Arial"/>
        <family val="2"/>
      </rPr>
      <t xml:space="preserve"> TRANSFERENCIA CUATRO GENERACIONES  (SI CONSTAN EN EL L.O.E.)</t>
    </r>
  </si>
  <si>
    <r>
      <t xml:space="preserve">     </t>
    </r>
    <r>
      <rPr>
        <b/>
        <sz val="8.5"/>
        <rFont val="Arial"/>
        <family val="2"/>
      </rPr>
      <t>EXCEPCION</t>
    </r>
    <r>
      <rPr>
        <sz val="8.5"/>
        <rFont val="Arial"/>
        <family val="2"/>
      </rPr>
      <t>, RECARGO 300% (más de 12 meses y menos de 18)  Art, 5.k) Reglamento L.O.E.</t>
    </r>
  </si>
  <si>
    <t xml:space="preserve">SOCIEDAD CANINA </t>
  </si>
  <si>
    <t>FECHA</t>
  </si>
  <si>
    <t>CÓDIGO</t>
  </si>
  <si>
    <t>I.V.A. … …</t>
  </si>
  <si>
    <t>REGISTRO INICIAL DE RAZA</t>
  </si>
  <si>
    <t>+</t>
  </si>
  <si>
    <t>-</t>
  </si>
  <si>
    <t>=</t>
  </si>
  <si>
    <t>TOTAL REMESA</t>
  </si>
  <si>
    <t>INSCRIPCION DE OTROS LIBROS GENEALOGICOS (NO ADMITE PLUS DE URGENCIA)</t>
  </si>
  <si>
    <t>MUESTRA, RASTRO Y MADRIGUERA</t>
  </si>
  <si>
    <t>DUPLICADO DE PEDIGREE TRES GENERACIONES</t>
  </si>
  <si>
    <t>DUPLICADO DE PEDIGREE CUATRO GENERACIONES</t>
  </si>
  <si>
    <t>DUPLICADO EXPORT PEDIGREE TRES GENERACIONES</t>
  </si>
  <si>
    <t>DUPLICADO EXPORT PEDIGREE CUATRO GENERACIONES</t>
  </si>
  <si>
    <t>Real Sociedad Canina de España</t>
  </si>
  <si>
    <t xml:space="preserve">Calle Lagasca, 16 - Bajo derecha </t>
  </si>
  <si>
    <t>28001 MADRID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</si>
  <si>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</si>
  <si>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</si>
  <si>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</si>
  <si>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</si>
  <si>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</si>
  <si>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</si>
  <si>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</si>
  <si>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</si>
  <si>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</si>
  <si>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</si>
  <si>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</si>
  <si>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</si>
  <si>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</si>
  <si>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</si>
  <si>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</si>
  <si>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</si>
  <si>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</si>
  <si>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</si>
  <si>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</si>
  <si>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</si>
  <si>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</si>
  <si>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</si>
  <si>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</si>
  <si>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0401</t>
  </si>
  <si>
    <t>0402</t>
  </si>
  <si>
    <t>0403</t>
  </si>
  <si>
    <t>0501</t>
  </si>
  <si>
    <t>0502</t>
  </si>
  <si>
    <t>0601</t>
  </si>
  <si>
    <t>1002</t>
  </si>
  <si>
    <t>1003</t>
  </si>
  <si>
    <t>1004</t>
  </si>
  <si>
    <t>POR PERRO INSCRITO EN CADA PRUEBA CON CAC / CACT</t>
  </si>
  <si>
    <t>TOTAL AUTOLIQUIDACION</t>
  </si>
  <si>
    <t>v2018.0</t>
  </si>
  <si>
    <t>Por el total de esta autoliquidación acompañamos:</t>
  </si>
  <si>
    <t>TARIFA AÑO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</si>
</sst>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,##0.00;\-###,##0.00;;@"/>
    <numFmt numFmtId="165" formatCode="##,##0;\-##,##0;;@"/>
  </numFmts>
  <fonts count="17" x14ac:knownFonts="1">
    <font>
      <sz val="10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i/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8.5"/>
      <name val="Arial"/>
      <family val="2"/>
    </font>
    <font>
      <sz val="8.5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2"/>
      <name val="Arial"/>
      <family val="2"/>
    </font>
    <font>
      <sz val="10"/>
      <name val="Baskerville Old Face"/>
      <family val="1"/>
    </font>
    <font>
      <b/>
      <sz val="22"/>
      <name val="Baskerville Old Face"/>
      <family val="1"/>
    </font>
    <font>
      <sz val="7"/>
      <name val="Arial"/>
      <family val="2"/>
    </font>
    <font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2" tint="-0.249977111117893"/>
        <bgColor indexed="64"/>
      </patternFill>
    </fill>
  </fills>
  <borders count="37">
    <border>
      <left/>
      <right/>
      <top/>
      <bottom/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theme="0" tint="-0.34998626667073579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theme="0" tint="-0.34998626667073579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theme="0" tint="-0.34998626667073579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0" fillId="0" borderId="0" xfId="0" applyAlignment="1">
      <alignment vertical="center"/>
    </xf>
    <xf numFmtId="4" fontId="3" fillId="0" borderId="1" xfId="0" applyNumberFormat="1" applyFont="1" applyBorder="1" applyAlignment="1">
      <alignment vertical="center"/>
    </xf>
    <xf numFmtId="4" fontId="2" fillId="0" borderId="3" xfId="0" applyNumberFormat="1" applyFont="1" applyBorder="1" applyAlignment="1">
      <alignment vertical="center"/>
    </xf>
    <xf numFmtId="0" fontId="2" fillId="0" borderId="4" xfId="0" applyFont="1" applyBorder="1" applyAlignment="1">
      <alignment horizontal="left" vertical="center" indent="1"/>
    </xf>
    <xf numFmtId="4" fontId="3" fillId="0" borderId="2" xfId="0" applyNumberFormat="1" applyFont="1" applyBorder="1" applyAlignment="1">
      <alignment vertical="center"/>
    </xf>
    <xf numFmtId="4" fontId="4" fillId="0" borderId="2" xfId="0" applyNumberFormat="1" applyFont="1" applyFill="1" applyBorder="1" applyAlignment="1">
      <alignment vertical="center"/>
    </xf>
    <xf numFmtId="4" fontId="4" fillId="0" borderId="1" xfId="0" applyNumberFormat="1" applyFont="1" applyFill="1" applyBorder="1" applyAlignment="1">
      <alignment vertical="center"/>
    </xf>
    <xf numFmtId="4" fontId="3" fillId="0" borderId="5" xfId="0" applyNumberFormat="1" applyFont="1" applyBorder="1" applyAlignment="1">
      <alignment vertical="center"/>
    </xf>
    <xf numFmtId="0" fontId="0" fillId="0" borderId="0" xfId="0" applyBorder="1"/>
    <xf numFmtId="0" fontId="0" fillId="0" borderId="0" xfId="0" applyAlignment="1">
      <alignment horizontal="right"/>
    </xf>
    <xf numFmtId="0" fontId="2" fillId="0" borderId="8" xfId="0" applyFont="1" applyBorder="1" applyAlignment="1">
      <alignment horizontal="left" vertical="center" indent="1"/>
    </xf>
    <xf numFmtId="0" fontId="2" fillId="0" borderId="9" xfId="0" applyFont="1" applyBorder="1" applyAlignment="1">
      <alignment horizontal="left" vertical="center" indent="1"/>
    </xf>
    <xf numFmtId="0" fontId="0" fillId="0" borderId="0" xfId="0" applyBorder="1" applyAlignment="1"/>
    <xf numFmtId="0" fontId="0" fillId="0" borderId="0" xfId="0" applyAlignment="1"/>
    <xf numFmtId="0" fontId="4" fillId="2" borderId="14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0" fillId="0" borderId="0" xfId="0" applyAlignment="1"/>
    <xf numFmtId="0" fontId="9" fillId="0" borderId="8" xfId="0" applyFont="1" applyBorder="1" applyAlignment="1">
      <alignment horizontal="left" vertical="center" indent="1"/>
    </xf>
    <xf numFmtId="0" fontId="7" fillId="0" borderId="0" xfId="0" applyFont="1" applyAlignment="1">
      <alignment horizontal="right" indent="1"/>
    </xf>
    <xf numFmtId="4" fontId="0" fillId="0" borderId="11" xfId="0" applyNumberFormat="1" applyFill="1" applyBorder="1" applyAlignment="1">
      <alignment vertical="center"/>
    </xf>
    <xf numFmtId="0" fontId="9" fillId="0" borderId="19" xfId="0" applyFont="1" applyBorder="1" applyAlignment="1">
      <alignment horizontal="left" vertical="center" wrapText="1" indent="1"/>
    </xf>
    <xf numFmtId="0" fontId="5" fillId="0" borderId="0" xfId="0" applyFont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0" xfId="0" applyFont="1" applyBorder="1" applyAlignment="1"/>
    <xf numFmtId="10" fontId="11" fillId="0" borderId="0" xfId="0" applyNumberFormat="1" applyFont="1" applyBorder="1" applyAlignment="1"/>
    <xf numFmtId="0" fontId="9" fillId="0" borderId="8" xfId="0" applyNumberFormat="1" applyFont="1" applyBorder="1" applyAlignment="1">
      <alignment horizontal="left" vertical="center" indent="1"/>
    </xf>
    <xf numFmtId="0" fontId="6" fillId="4" borderId="8" xfId="0" applyFont="1" applyFill="1" applyBorder="1" applyAlignment="1">
      <alignment horizontal="left" vertical="center" indent="1"/>
    </xf>
    <xf numFmtId="0" fontId="0" fillId="0" borderId="0" xfId="0" applyBorder="1" applyAlignment="1">
      <alignment horizontal="right"/>
    </xf>
    <xf numFmtId="0" fontId="0" fillId="0" borderId="11" xfId="0" applyBorder="1" applyAlignment="1"/>
    <xf numFmtId="0" fontId="4" fillId="2" borderId="11" xfId="0" applyFont="1" applyFill="1" applyBorder="1" applyAlignment="1">
      <alignment horizontal="center" vertical="center" wrapText="1"/>
    </xf>
    <xf numFmtId="4" fontId="2" fillId="0" borderId="11" xfId="0" applyNumberFormat="1" applyFont="1" applyBorder="1" applyAlignment="1">
      <alignment vertic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6" fillId="4" borderId="27" xfId="0" applyFont="1" applyFill="1" applyBorder="1" applyAlignment="1">
      <alignment horizontal="left" vertical="center" indent="1"/>
    </xf>
    <xf numFmtId="0" fontId="0" fillId="0" borderId="31" xfId="0" applyBorder="1"/>
    <xf numFmtId="164" fontId="5" fillId="0" borderId="21" xfId="0" applyNumberFormat="1" applyFont="1" applyFill="1" applyBorder="1" applyAlignment="1" applyProtection="1">
      <alignment horizontal="right" vertical="center" indent="1"/>
    </xf>
    <xf numFmtId="164" fontId="5" fillId="0" borderId="26" xfId="0" applyNumberFormat="1" applyFont="1" applyFill="1" applyBorder="1" applyAlignment="1">
      <alignment horizontal="right" vertical="center" indent="1"/>
    </xf>
    <xf numFmtId="164" fontId="5" fillId="0" borderId="18" xfId="0" applyNumberFormat="1" applyFont="1" applyFill="1" applyBorder="1" applyAlignment="1">
      <alignment horizontal="right" vertical="center" indent="1"/>
    </xf>
    <xf numFmtId="164" fontId="5" fillId="0" borderId="0" xfId="0" applyNumberFormat="1" applyFont="1" applyFill="1" applyBorder="1" applyAlignment="1">
      <alignment horizontal="right" vertical="center" indent="1"/>
    </xf>
    <xf numFmtId="164" fontId="5" fillId="0" borderId="16" xfId="0" applyNumberFormat="1" applyFont="1" applyFill="1" applyBorder="1" applyAlignment="1">
      <alignment horizontal="right" vertical="center" indent="1"/>
    </xf>
    <xf numFmtId="164" fontId="0" fillId="0" borderId="0" xfId="0" applyNumberFormat="1" applyFill="1" applyBorder="1"/>
    <xf numFmtId="164" fontId="5" fillId="0" borderId="16" xfId="0" applyNumberFormat="1" applyFont="1" applyFill="1" applyBorder="1" applyAlignment="1" applyProtection="1">
      <alignment horizontal="right" vertical="center" indent="1"/>
      <protection locked="0"/>
    </xf>
    <xf numFmtId="164" fontId="0" fillId="0" borderId="0" xfId="0" applyNumberFormat="1" applyAlignment="1">
      <alignment horizontal="right" indent="1"/>
    </xf>
    <xf numFmtId="0" fontId="2" fillId="0" borderId="0" xfId="0" applyFont="1" applyAlignment="1">
      <alignment horizontal="right"/>
    </xf>
    <xf numFmtId="0" fontId="2" fillId="0" borderId="0" xfId="0" applyFont="1" applyAlignment="1"/>
    <xf numFmtId="0" fontId="2" fillId="0" borderId="0" xfId="0" applyFont="1" applyBorder="1" applyAlignment="1"/>
    <xf numFmtId="0" fontId="0" fillId="0" borderId="0" xfId="0" applyFont="1" applyAlignment="1">
      <alignment horizontal="right" indent="1"/>
    </xf>
    <xf numFmtId="14" fontId="0" fillId="0" borderId="34" xfId="0" applyNumberFormat="1" applyBorder="1" applyAlignment="1" applyProtection="1">
      <alignment horizontal="center"/>
      <protection locked="0"/>
    </xf>
    <xf numFmtId="165" fontId="10" fillId="0" borderId="20" xfId="0" applyNumberFormat="1" applyFont="1" applyBorder="1" applyAlignment="1" applyProtection="1">
      <alignment horizontal="right" vertical="center" indent="1"/>
      <protection locked="0"/>
    </xf>
    <xf numFmtId="165" fontId="10" fillId="0" borderId="15" xfId="0" applyNumberFormat="1" applyFont="1" applyBorder="1" applyAlignment="1" applyProtection="1">
      <alignment horizontal="right" vertical="center" indent="1"/>
      <protection locked="0"/>
    </xf>
    <xf numFmtId="165" fontId="10" fillId="0" borderId="29" xfId="0" applyNumberFormat="1" applyFont="1" applyBorder="1" applyAlignment="1" applyProtection="1">
      <alignment horizontal="right" vertical="center" indent="1"/>
      <protection locked="0"/>
    </xf>
    <xf numFmtId="3" fontId="10" fillId="0" borderId="6" xfId="0" applyNumberFormat="1" applyFont="1" applyBorder="1" applyAlignment="1">
      <alignment horizontal="center" vertical="center"/>
    </xf>
    <xf numFmtId="3" fontId="10" fillId="0" borderId="6" xfId="0" applyNumberFormat="1" applyFont="1" applyFill="1" applyBorder="1" applyAlignment="1">
      <alignment horizontal="center" vertical="center"/>
    </xf>
    <xf numFmtId="0" fontId="10" fillId="0" borderId="17" xfId="0" applyFont="1" applyFill="1" applyBorder="1" applyAlignment="1">
      <alignment horizontal="center" vertical="center"/>
    </xf>
    <xf numFmtId="0" fontId="14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0" fontId="0" fillId="0" borderId="0" xfId="0" applyAlignment="1"/>
    <xf numFmtId="0" fontId="6" fillId="0" borderId="8" xfId="0" quotePrefix="1" applyFont="1" applyBorder="1" applyAlignment="1">
      <alignment horizontal="center" vertical="center"/>
    </xf>
    <xf numFmtId="0" fontId="15" fillId="0" borderId="31" xfId="0" applyFont="1" applyBorder="1"/>
    <xf numFmtId="0" fontId="9" fillId="0" borderId="25" xfId="0" applyFont="1" applyBorder="1" applyAlignment="1">
      <alignment horizontal="left" vertical="center" indent="1"/>
    </xf>
    <xf numFmtId="0" fontId="9" fillId="0" borderId="25" xfId="0" applyNumberFormat="1" applyFont="1" applyBorder="1" applyAlignment="1">
      <alignment horizontal="left" vertical="center" indent="1"/>
    </xf>
    <xf numFmtId="0" fontId="9" fillId="0" borderId="4" xfId="0" applyFont="1" applyBorder="1" applyAlignment="1">
      <alignment horizontal="left" vertical="center" wrapText="1" indent="1"/>
    </xf>
    <xf numFmtId="0" fontId="9" fillId="0" borderId="13" xfId="0" applyFont="1" applyBorder="1" applyAlignment="1">
      <alignment horizontal="left" vertical="center" wrapText="1" indent="1"/>
    </xf>
    <xf numFmtId="0" fontId="0" fillId="0" borderId="14" xfId="0" applyBorder="1" applyAlignment="1">
      <alignment horizontal="left" vertical="center" wrapText="1" indent="1"/>
    </xf>
    <xf numFmtId="4" fontId="10" fillId="0" borderId="4" xfId="0" applyNumberFormat="1" applyFont="1" applyBorder="1" applyAlignment="1">
      <alignment horizontal="right" vertical="center" indent="1"/>
    </xf>
    <xf numFmtId="0" fontId="0" fillId="0" borderId="14" xfId="0" applyBorder="1" applyAlignment="1">
      <alignment horizontal="right" vertical="center" indent="1"/>
    </xf>
    <xf numFmtId="0" fontId="2" fillId="0" borderId="32" xfId="0" applyFont="1" applyBorder="1" applyAlignment="1" applyProtection="1">
      <alignment horizontal="left" indent="1"/>
      <protection locked="0"/>
    </xf>
    <xf numFmtId="0" fontId="0" fillId="0" borderId="33" xfId="0" applyBorder="1" applyAlignment="1">
      <alignment horizontal="right"/>
    </xf>
    <xf numFmtId="0" fontId="0" fillId="0" borderId="33" xfId="0" applyBorder="1" applyAlignment="1"/>
    <xf numFmtId="4" fontId="10" fillId="0" borderId="4" xfId="0" applyNumberFormat="1" applyFont="1" applyBorder="1" applyAlignment="1" applyProtection="1">
      <alignment horizontal="right" vertical="center" indent="1"/>
      <protection locked="0"/>
    </xf>
    <xf numFmtId="0" fontId="0" fillId="0" borderId="14" xfId="0" applyBorder="1" applyAlignment="1" applyProtection="1">
      <alignment horizontal="right" vertical="center" indent="1"/>
      <protection locked="0"/>
    </xf>
    <xf numFmtId="4" fontId="10" fillId="0" borderId="27" xfId="0" applyNumberFormat="1" applyFont="1" applyBorder="1" applyAlignment="1" applyProtection="1">
      <alignment horizontal="right" vertical="center" indent="1"/>
      <protection locked="0"/>
    </xf>
    <xf numFmtId="0" fontId="0" fillId="0" borderId="28" xfId="0" applyBorder="1" applyAlignment="1" applyProtection="1">
      <alignment horizontal="right" vertical="center" indent="1"/>
      <protection locked="0"/>
    </xf>
    <xf numFmtId="10" fontId="11" fillId="0" borderId="0" xfId="0" applyNumberFormat="1" applyFont="1" applyBorder="1" applyAlignment="1"/>
    <xf numFmtId="10" fontId="11" fillId="0" borderId="11" xfId="0" applyNumberFormat="1" applyFont="1" applyBorder="1" applyAlignment="1"/>
    <xf numFmtId="0" fontId="0" fillId="0" borderId="31" xfId="0" applyBorder="1" applyAlignment="1"/>
    <xf numFmtId="0" fontId="0" fillId="0" borderId="30" xfId="0" applyBorder="1" applyAlignment="1"/>
    <xf numFmtId="10" fontId="10" fillId="0" borderId="6" xfId="0" applyNumberFormat="1" applyFont="1" applyBorder="1" applyAlignment="1">
      <alignment horizontal="center" vertical="center" wrapText="1"/>
    </xf>
    <xf numFmtId="10" fontId="10" fillId="0" borderId="12" xfId="0" applyNumberFormat="1" applyFont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2" fillId="0" borderId="32" xfId="0" applyFont="1" applyBorder="1" applyAlignment="1" applyProtection="1">
      <protection locked="0"/>
    </xf>
    <xf numFmtId="0" fontId="0" fillId="0" borderId="32" xfId="0" applyFont="1" applyBorder="1" applyAlignment="1" applyProtection="1">
      <protection locked="0"/>
    </xf>
    <xf numFmtId="0" fontId="0" fillId="0" borderId="32" xfId="0" applyFont="1" applyBorder="1" applyAlignment="1" applyProtection="1">
      <alignment horizontal="left" indent="1"/>
      <protection locked="0"/>
    </xf>
    <xf numFmtId="0" fontId="9" fillId="0" borderId="4" xfId="0" applyFont="1" applyFill="1" applyBorder="1" applyAlignment="1">
      <alignment horizontal="left" vertical="center" indent="1"/>
    </xf>
    <xf numFmtId="0" fontId="9" fillId="0" borderId="13" xfId="0" applyFont="1" applyFill="1" applyBorder="1" applyAlignment="1">
      <alignment horizontal="left" vertical="center" indent="1"/>
    </xf>
    <xf numFmtId="0" fontId="0" fillId="0" borderId="14" xfId="0" applyBorder="1" applyAlignment="1">
      <alignment horizontal="left" vertical="center" inden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Alignment="1"/>
    <xf numFmtId="3" fontId="1" fillId="0" borderId="6" xfId="0" applyNumberFormat="1" applyFont="1" applyBorder="1" applyAlignment="1">
      <alignment horizontal="center" vertical="center"/>
    </xf>
    <xf numFmtId="3" fontId="1" fillId="0" borderId="35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3" fontId="16" fillId="0" borderId="0" xfId="0" applyNumberFormat="1" applyFont="1" applyBorder="1" applyAlignment="1" applyProtection="1">
      <alignment horizontal="left" indent="1"/>
      <protection locked="0"/>
    </xf>
    <xf numFmtId="0" fontId="9" fillId="0" borderId="4" xfId="0" applyFont="1" applyBorder="1" applyAlignment="1">
      <alignment horizontal="left" vertical="center" indent="1"/>
    </xf>
    <xf numFmtId="0" fontId="9" fillId="0" borderId="13" xfId="0" applyFont="1" applyBorder="1" applyAlignment="1">
      <alignment horizontal="left" vertical="center" inden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0" fillId="0" borderId="13" xfId="0" applyBorder="1" applyAlignment="1"/>
    <xf numFmtId="0" fontId="0" fillId="0" borderId="14" xfId="0" applyBorder="1" applyAlignment="1"/>
    <xf numFmtId="0" fontId="8" fillId="2" borderId="4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0" fillId="0" borderId="25" xfId="0" applyBorder="1" applyAlignment="1"/>
    <xf numFmtId="0" fontId="0" fillId="0" borderId="19" xfId="0" applyBorder="1" applyAlignment="1"/>
    <xf numFmtId="0" fontId="9" fillId="0" borderId="14" xfId="0" applyFont="1" applyBorder="1" applyAlignment="1">
      <alignment horizontal="left" vertical="center" indent="1"/>
    </xf>
    <xf numFmtId="0" fontId="2" fillId="0" borderId="27" xfId="0" applyFont="1" applyFill="1" applyBorder="1" applyAlignment="1" applyProtection="1">
      <alignment horizontal="left" vertical="center" indent="1"/>
      <protection locked="0"/>
    </xf>
    <xf numFmtId="0" fontId="2" fillId="0" borderId="36" xfId="0" applyFont="1" applyFill="1" applyBorder="1" applyAlignment="1" applyProtection="1">
      <alignment horizontal="left" vertical="center" indent="1"/>
      <protection locked="0"/>
    </xf>
    <xf numFmtId="0" fontId="0" fillId="0" borderId="28" xfId="0" applyBorder="1" applyAlignment="1" applyProtection="1">
      <alignment horizontal="left" vertical="center" indent="1"/>
      <protection locked="0"/>
    </xf>
    <xf numFmtId="0" fontId="2" fillId="0" borderId="4" xfId="0" applyFont="1" applyFill="1" applyBorder="1" applyAlignment="1" applyProtection="1">
      <alignment horizontal="left" vertical="center" indent="1"/>
    </xf>
    <xf numFmtId="0" fontId="2" fillId="0" borderId="13" xfId="0" applyFont="1" applyFill="1" applyBorder="1" applyAlignment="1" applyProtection="1">
      <alignment horizontal="left" vertical="center" indent="1"/>
    </xf>
    <xf numFmtId="0" fontId="0" fillId="0" borderId="14" xfId="0" applyBorder="1" applyAlignment="1" applyProtection="1">
      <alignment horizontal="left" vertical="center" indent="1"/>
    </xf>
    <xf numFmtId="0" fontId="2" fillId="0" borderId="4" xfId="0" applyFont="1" applyFill="1" applyBorder="1" applyAlignment="1" applyProtection="1">
      <alignment horizontal="left" vertical="center" indent="1"/>
      <protection locked="0"/>
    </xf>
    <xf numFmtId="0" fontId="2" fillId="0" borderId="13" xfId="0" applyFont="1" applyFill="1" applyBorder="1" applyAlignment="1" applyProtection="1">
      <alignment horizontal="left" vertical="center" indent="1"/>
      <protection locked="0"/>
    </xf>
    <xf numFmtId="0" fontId="0" fillId="0" borderId="14" xfId="0" applyBorder="1" applyAlignment="1" applyProtection="1">
      <alignment horizontal="left" vertical="center" indent="1"/>
      <protection locked="0"/>
    </xf>
    <xf numFmtId="4" fontId="10" fillId="0" borderId="4" xfId="0" applyNumberFormat="1" applyFont="1" applyBorder="1" applyAlignment="1" applyProtection="1">
      <alignment horizontal="right" vertical="center" indent="1"/>
    </xf>
    <xf numFmtId="0" fontId="0" fillId="0" borderId="14" xfId="0" applyBorder="1" applyAlignment="1" applyProtection="1">
      <alignment horizontal="right" vertical="center" indent="1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366183</xdr:colOff>
      <xdr:row>73</xdr:row>
      <xdr:rowOff>63500</xdr:rowOff>
    </xdr:from>
    <xdr:to>
      <xdr:col>0</xdr:col>
      <xdr:colOff>1204383</xdr:colOff>
      <xdr:row>79</xdr:row>
      <xdr:rowOff>9525</xdr:rowOff>
    </xdr:to>
    <xdr:pic>
      <xdr:nvPicPr>
        <xdr:cNvPr id="2" name="1 Imagen" descr="RSCE logo corona nueva3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6183" y="10731500"/>
          <a:ext cx="838200" cy="10996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9"/>
  <sheetViews>
    <sheetView tabSelected="1" zoomScale="90" zoomScaleNormal="90" workbookViewId="0">
      <selection activeCell="C2" sqref="C2"/>
    </sheetView>
  </sheetViews>
  <sheetFormatPr baseColWidth="10" defaultRowHeight="12.75" x14ac:dyDescent="0.2"/>
  <cols>
    <col min="1" max="1" width="35.42578125" customWidth="1"/>
    <col min="2" max="2" width="4" customWidth="1"/>
    <col min="3" max="3" width="43.28515625" customWidth="1"/>
    <col min="4" max="4" width="7.5703125" customWidth="1"/>
    <col min="5" max="5" width="9.7109375" customWidth="1"/>
    <col min="6" max="6" width="5.7109375" customWidth="1"/>
    <col min="7" max="7" width="2.140625" customWidth="1"/>
    <col min="8" max="8" width="13.42578125" customWidth="1"/>
    <col min="9" max="9" width="11.5703125" customWidth="1"/>
  </cols>
  <sheetData>
    <row r="1" spans="1:8" ht="18" x14ac:dyDescent="0.25">
      <c r="A1" s="19" t="s">
        <v>51</v>
      </c>
      <c r="B1" s="19"/>
      <c r="C1" s="84"/>
      <c r="D1" s="85"/>
      <c r="E1" s="85"/>
      <c r="F1" s="85"/>
      <c r="G1" s="85"/>
      <c r="H1" s="85"/>
    </row>
    <row r="2" spans="1:8" ht="21.75" customHeight="1" x14ac:dyDescent="0.2">
      <c r="A2" s="47" t="s">
        <v>52</v>
      </c>
      <c r="B2" s="47"/>
      <c r="C2" s="48"/>
      <c r="D2" s="96"/>
      <c r="E2" s="96"/>
      <c r="F2" s="96"/>
      <c r="G2" s="96"/>
      <c r="H2" s="96"/>
    </row>
    <row r="3" spans="1:8" ht="21" thickBot="1" x14ac:dyDescent="0.35">
      <c r="A3" s="14"/>
      <c r="B3" s="57"/>
      <c r="C3" s="125" t="s">
        <v>105</v>
      </c>
      <c r="D3" s="14"/>
      <c r="E3" s="14"/>
      <c r="F3" s="14"/>
      <c r="G3" s="17"/>
      <c r="H3" s="16"/>
    </row>
    <row r="4" spans="1:8" ht="39" customHeight="1" thickTop="1" x14ac:dyDescent="0.2">
      <c r="A4" s="97" t="s">
        <v>38</v>
      </c>
      <c r="B4" s="98"/>
      <c r="C4" s="99"/>
      <c r="D4" s="52" t="s">
        <v>53</v>
      </c>
      <c r="E4" s="53" t="s">
        <v>39</v>
      </c>
      <c r="F4" s="78" t="s">
        <v>40</v>
      </c>
      <c r="G4" s="79"/>
      <c r="H4" s="54" t="s">
        <v>41</v>
      </c>
    </row>
    <row r="5" spans="1:8" s="1" customFormat="1" ht="15.95" customHeight="1" x14ac:dyDescent="0.2">
      <c r="A5" s="80" t="s">
        <v>0</v>
      </c>
      <c r="B5" s="81"/>
      <c r="C5" s="81"/>
      <c r="D5" s="82"/>
      <c r="E5" s="82"/>
      <c r="F5" s="82"/>
      <c r="G5" s="82"/>
      <c r="H5" s="83"/>
    </row>
    <row r="6" spans="1:8" s="1" customFormat="1" ht="12.75" customHeight="1" x14ac:dyDescent="0.2">
      <c r="A6" s="101" t="s">
        <v>46</v>
      </c>
      <c r="B6" s="102"/>
      <c r="C6" s="89"/>
      <c r="D6" s="58" t="s">
        <v>69</v>
      </c>
      <c r="E6" s="49"/>
      <c r="F6" s="65">
        <v>21.62</v>
      </c>
      <c r="G6" s="66"/>
      <c r="H6" s="36">
        <f>E6*F6</f>
        <v>0</v>
      </c>
    </row>
    <row r="7" spans="1:8" s="1" customFormat="1" ht="12.75" customHeight="1" x14ac:dyDescent="0.2">
      <c r="A7" s="18" t="s">
        <v>47</v>
      </c>
      <c r="B7" s="60"/>
      <c r="C7" s="21"/>
      <c r="D7" s="58" t="s">
        <v>70</v>
      </c>
      <c r="E7" s="50"/>
      <c r="F7" s="65">
        <v>24.42</v>
      </c>
      <c r="G7" s="66"/>
      <c r="H7" s="36">
        <f t="shared" ref="H7:H18" si="0">E7*F7</f>
        <v>0</v>
      </c>
    </row>
    <row r="8" spans="1:8" s="1" customFormat="1" ht="12.75" customHeight="1" x14ac:dyDescent="0.2">
      <c r="A8" s="26" t="s">
        <v>1</v>
      </c>
      <c r="B8" s="61"/>
      <c r="C8" s="21"/>
      <c r="D8" s="58" t="s">
        <v>71</v>
      </c>
      <c r="E8" s="50"/>
      <c r="F8" s="65">
        <v>12.57</v>
      </c>
      <c r="G8" s="66"/>
      <c r="H8" s="36">
        <f t="shared" si="0"/>
        <v>0</v>
      </c>
    </row>
    <row r="9" spans="1:8" s="1" customFormat="1" ht="12.75" customHeight="1" x14ac:dyDescent="0.2">
      <c r="A9" s="101" t="s">
        <v>2</v>
      </c>
      <c r="B9" s="102"/>
      <c r="C9" s="89"/>
      <c r="D9" s="58" t="s">
        <v>72</v>
      </c>
      <c r="E9" s="50"/>
      <c r="F9" s="65">
        <v>32.840000000000003</v>
      </c>
      <c r="G9" s="66"/>
      <c r="H9" s="36">
        <f t="shared" si="0"/>
        <v>0</v>
      </c>
    </row>
    <row r="10" spans="1:8" s="1" customFormat="1" ht="12.75" customHeight="1" x14ac:dyDescent="0.2">
      <c r="A10" s="101" t="s">
        <v>3</v>
      </c>
      <c r="B10" s="102"/>
      <c r="C10" s="89"/>
      <c r="D10" s="58" t="s">
        <v>73</v>
      </c>
      <c r="E10" s="50"/>
      <c r="F10" s="65">
        <v>35.92</v>
      </c>
      <c r="G10" s="66"/>
      <c r="H10" s="36">
        <f t="shared" si="0"/>
        <v>0</v>
      </c>
    </row>
    <row r="11" spans="1:8" s="1" customFormat="1" ht="12.75" customHeight="1" x14ac:dyDescent="0.2">
      <c r="A11" s="101" t="s">
        <v>48</v>
      </c>
      <c r="B11" s="102"/>
      <c r="C11" s="89"/>
      <c r="D11" s="58" t="s">
        <v>74</v>
      </c>
      <c r="E11" s="50"/>
      <c r="F11" s="65">
        <v>18.16</v>
      </c>
      <c r="G11" s="66"/>
      <c r="H11" s="36">
        <f t="shared" si="0"/>
        <v>0</v>
      </c>
    </row>
    <row r="12" spans="1:8" s="1" customFormat="1" ht="12.75" customHeight="1" x14ac:dyDescent="0.2">
      <c r="A12" s="62" t="s">
        <v>49</v>
      </c>
      <c r="B12" s="63"/>
      <c r="C12" s="64"/>
      <c r="D12" s="58" t="s">
        <v>75</v>
      </c>
      <c r="E12" s="50"/>
      <c r="F12" s="65">
        <v>19.21</v>
      </c>
      <c r="G12" s="66"/>
      <c r="H12" s="36">
        <f t="shared" si="0"/>
        <v>0</v>
      </c>
    </row>
    <row r="13" spans="1:8" s="1" customFormat="1" ht="12.75" customHeight="1" x14ac:dyDescent="0.2">
      <c r="A13" s="62" t="s">
        <v>62</v>
      </c>
      <c r="B13" s="63"/>
      <c r="C13" s="64"/>
      <c r="D13" s="58" t="s">
        <v>76</v>
      </c>
      <c r="E13" s="50"/>
      <c r="F13" s="65">
        <v>18.16</v>
      </c>
      <c r="G13" s="66"/>
      <c r="H13" s="36">
        <f t="shared" si="0"/>
        <v>0</v>
      </c>
    </row>
    <row r="14" spans="1:8" s="1" customFormat="1" ht="12.75" customHeight="1" x14ac:dyDescent="0.2">
      <c r="A14" s="62" t="s">
        <v>63</v>
      </c>
      <c r="B14" s="63"/>
      <c r="C14" s="64"/>
      <c r="D14" s="58" t="s">
        <v>77</v>
      </c>
      <c r="E14" s="50"/>
      <c r="F14" s="65">
        <v>19.21</v>
      </c>
      <c r="G14" s="66"/>
      <c r="H14" s="36">
        <f t="shared" si="0"/>
        <v>0</v>
      </c>
    </row>
    <row r="15" spans="1:8" s="1" customFormat="1" ht="12.75" customHeight="1" x14ac:dyDescent="0.2">
      <c r="A15" s="62" t="s">
        <v>64</v>
      </c>
      <c r="B15" s="63"/>
      <c r="C15" s="64"/>
      <c r="D15" s="58" t="s">
        <v>78</v>
      </c>
      <c r="E15" s="50"/>
      <c r="F15" s="65">
        <v>29.61</v>
      </c>
      <c r="G15" s="66"/>
      <c r="H15" s="36">
        <f t="shared" si="0"/>
        <v>0</v>
      </c>
    </row>
    <row r="16" spans="1:8" s="1" customFormat="1" ht="12.75" customHeight="1" x14ac:dyDescent="0.2">
      <c r="A16" s="62" t="s">
        <v>65</v>
      </c>
      <c r="B16" s="63"/>
      <c r="C16" s="64"/>
      <c r="D16" s="58" t="s">
        <v>79</v>
      </c>
      <c r="E16" s="50"/>
      <c r="F16" s="65">
        <v>32.159999999999997</v>
      </c>
      <c r="G16" s="66"/>
      <c r="H16" s="36">
        <f t="shared" si="0"/>
        <v>0</v>
      </c>
    </row>
    <row r="17" spans="1:8" s="1" customFormat="1" ht="12.75" customHeight="1" x14ac:dyDescent="0.2">
      <c r="A17" s="101" t="s">
        <v>4</v>
      </c>
      <c r="B17" s="102"/>
      <c r="C17" s="89"/>
      <c r="D17" s="58" t="s">
        <v>80</v>
      </c>
      <c r="E17" s="50"/>
      <c r="F17" s="65">
        <v>6.74</v>
      </c>
      <c r="G17" s="66"/>
      <c r="H17" s="36">
        <f t="shared" si="0"/>
        <v>0</v>
      </c>
    </row>
    <row r="18" spans="1:8" s="1" customFormat="1" ht="12.75" customHeight="1" x14ac:dyDescent="0.2">
      <c r="A18" s="87" t="s">
        <v>5</v>
      </c>
      <c r="B18" s="88"/>
      <c r="C18" s="89"/>
      <c r="D18" s="58" t="s">
        <v>81</v>
      </c>
      <c r="E18" s="50"/>
      <c r="F18" s="65">
        <v>10</v>
      </c>
      <c r="G18" s="66"/>
      <c r="H18" s="36">
        <f t="shared" si="0"/>
        <v>0</v>
      </c>
    </row>
    <row r="19" spans="1:8" s="1" customFormat="1" ht="12.75" customHeight="1" x14ac:dyDescent="0.2">
      <c r="A19" s="103" t="s">
        <v>6</v>
      </c>
      <c r="B19" s="104"/>
      <c r="C19" s="104"/>
      <c r="D19" s="105"/>
      <c r="E19" s="105"/>
      <c r="F19" s="105"/>
      <c r="G19" s="105"/>
      <c r="H19" s="106"/>
    </row>
    <row r="20" spans="1:8" s="1" customFormat="1" ht="12.75" customHeight="1" x14ac:dyDescent="0.2">
      <c r="A20" s="101" t="s">
        <v>45</v>
      </c>
      <c r="B20" s="102"/>
      <c r="C20" s="89"/>
      <c r="D20" s="58" t="s">
        <v>82</v>
      </c>
      <c r="E20" s="49"/>
      <c r="F20" s="65">
        <v>19.03</v>
      </c>
      <c r="G20" s="66"/>
      <c r="H20" s="36">
        <f t="shared" ref="H20:H29" si="1">E20*F20</f>
        <v>0</v>
      </c>
    </row>
    <row r="21" spans="1:8" s="1" customFormat="1" ht="12.75" customHeight="1" x14ac:dyDescent="0.2">
      <c r="A21" s="101" t="s">
        <v>60</v>
      </c>
      <c r="B21" s="102"/>
      <c r="C21" s="89"/>
      <c r="D21" s="58" t="s">
        <v>83</v>
      </c>
      <c r="E21" s="50"/>
      <c r="F21" s="65">
        <v>28.32</v>
      </c>
      <c r="G21" s="66"/>
      <c r="H21" s="36">
        <f t="shared" si="1"/>
        <v>0</v>
      </c>
    </row>
    <row r="22" spans="1:8" s="1" customFormat="1" ht="12.75" customHeight="1" x14ac:dyDescent="0.2">
      <c r="A22" s="101" t="s">
        <v>7</v>
      </c>
      <c r="B22" s="102"/>
      <c r="C22" s="89"/>
      <c r="D22" s="58" t="s">
        <v>84</v>
      </c>
      <c r="E22" s="50"/>
      <c r="F22" s="65">
        <v>2.65</v>
      </c>
      <c r="G22" s="66"/>
      <c r="H22" s="36">
        <f t="shared" si="1"/>
        <v>0</v>
      </c>
    </row>
    <row r="23" spans="1:8" s="1" customFormat="1" ht="12.75" customHeight="1" x14ac:dyDescent="0.2">
      <c r="A23" s="101" t="s">
        <v>8</v>
      </c>
      <c r="B23" s="102"/>
      <c r="C23" s="89"/>
      <c r="D23" s="58" t="s">
        <v>85</v>
      </c>
      <c r="E23" s="50"/>
      <c r="F23" s="65">
        <v>1.91</v>
      </c>
      <c r="G23" s="66"/>
      <c r="H23" s="36">
        <f t="shared" si="1"/>
        <v>0</v>
      </c>
    </row>
    <row r="24" spans="1:8" s="1" customFormat="1" ht="12.75" customHeight="1" x14ac:dyDescent="0.2">
      <c r="A24" s="101" t="s">
        <v>9</v>
      </c>
      <c r="B24" s="102"/>
      <c r="C24" s="89"/>
      <c r="D24" s="58" t="s">
        <v>86</v>
      </c>
      <c r="E24" s="50"/>
      <c r="F24" s="65">
        <v>8.61</v>
      </c>
      <c r="G24" s="66"/>
      <c r="H24" s="36">
        <f t="shared" si="1"/>
        <v>0</v>
      </c>
    </row>
    <row r="25" spans="1:8" s="1" customFormat="1" ht="12.75" customHeight="1" x14ac:dyDescent="0.2">
      <c r="A25" s="87" t="s">
        <v>10</v>
      </c>
      <c r="B25" s="88"/>
      <c r="C25" s="89"/>
      <c r="D25" s="58" t="s">
        <v>87</v>
      </c>
      <c r="E25" s="50"/>
      <c r="F25" s="65">
        <v>8.61</v>
      </c>
      <c r="G25" s="66"/>
      <c r="H25" s="36">
        <f t="shared" si="1"/>
        <v>0</v>
      </c>
    </row>
    <row r="26" spans="1:8" s="1" customFormat="1" ht="12.75" customHeight="1" x14ac:dyDescent="0.2">
      <c r="A26" s="87" t="s">
        <v>11</v>
      </c>
      <c r="B26" s="88"/>
      <c r="C26" s="89"/>
      <c r="D26" s="58" t="s">
        <v>88</v>
      </c>
      <c r="E26" s="50"/>
      <c r="F26" s="65">
        <v>17.2</v>
      </c>
      <c r="G26" s="66"/>
      <c r="H26" s="36">
        <f t="shared" si="1"/>
        <v>0</v>
      </c>
    </row>
    <row r="27" spans="1:8" s="1" customFormat="1" ht="12.75" customHeight="1" x14ac:dyDescent="0.2">
      <c r="A27" s="87" t="s">
        <v>50</v>
      </c>
      <c r="B27" s="88"/>
      <c r="C27" s="89"/>
      <c r="D27" s="58" t="s">
        <v>89</v>
      </c>
      <c r="E27" s="50"/>
      <c r="F27" s="65">
        <v>25.77</v>
      </c>
      <c r="G27" s="66"/>
      <c r="H27" s="36">
        <f t="shared" si="1"/>
        <v>0</v>
      </c>
    </row>
    <row r="28" spans="1:8" s="1" customFormat="1" ht="12.75" customHeight="1" x14ac:dyDescent="0.2">
      <c r="A28" s="101" t="s">
        <v>12</v>
      </c>
      <c r="B28" s="102"/>
      <c r="C28" s="89"/>
      <c r="D28" s="58" t="s">
        <v>90</v>
      </c>
      <c r="E28" s="50"/>
      <c r="F28" s="65">
        <v>5.13</v>
      </c>
      <c r="G28" s="66"/>
      <c r="H28" s="36">
        <f t="shared" si="1"/>
        <v>0</v>
      </c>
    </row>
    <row r="29" spans="1:8" s="1" customFormat="1" ht="12.75" customHeight="1" x14ac:dyDescent="0.2">
      <c r="A29" s="101" t="s">
        <v>13</v>
      </c>
      <c r="B29" s="102"/>
      <c r="C29" s="89"/>
      <c r="D29" s="58" t="s">
        <v>91</v>
      </c>
      <c r="E29" s="50"/>
      <c r="F29" s="65">
        <v>19.03</v>
      </c>
      <c r="G29" s="66"/>
      <c r="H29" s="36">
        <f t="shared" si="1"/>
        <v>0</v>
      </c>
    </row>
    <row r="30" spans="1:8" s="1" customFormat="1" ht="12.75" customHeight="1" x14ac:dyDescent="0.2">
      <c r="A30" s="107" t="s">
        <v>14</v>
      </c>
      <c r="B30" s="108"/>
      <c r="C30" s="108"/>
      <c r="D30" s="105"/>
      <c r="E30" s="105"/>
      <c r="F30" s="105"/>
      <c r="G30" s="105"/>
      <c r="H30" s="106"/>
    </row>
    <row r="31" spans="1:8" s="1" customFormat="1" ht="12.75" customHeight="1" x14ac:dyDescent="0.2">
      <c r="A31" s="101" t="s">
        <v>15</v>
      </c>
      <c r="B31" s="102"/>
      <c r="C31" s="89"/>
      <c r="D31" s="58" t="s">
        <v>92</v>
      </c>
      <c r="E31" s="49">
        <v>0</v>
      </c>
      <c r="F31" s="65">
        <v>77.31</v>
      </c>
      <c r="G31" s="66"/>
      <c r="H31" s="36">
        <f t="shared" ref="H31:H33" si="2">E31*F31</f>
        <v>0</v>
      </c>
    </row>
    <row r="32" spans="1:8" s="1" customFormat="1" ht="12.75" customHeight="1" x14ac:dyDescent="0.2">
      <c r="A32" s="101" t="s">
        <v>16</v>
      </c>
      <c r="B32" s="102"/>
      <c r="C32" s="89"/>
      <c r="D32" s="58" t="s">
        <v>93</v>
      </c>
      <c r="E32" s="50"/>
      <c r="F32" s="65">
        <v>26.45</v>
      </c>
      <c r="G32" s="66"/>
      <c r="H32" s="36">
        <f t="shared" si="2"/>
        <v>0</v>
      </c>
    </row>
    <row r="33" spans="1:8" s="1" customFormat="1" ht="12.75" customHeight="1" x14ac:dyDescent="0.2">
      <c r="A33" s="101" t="s">
        <v>17</v>
      </c>
      <c r="B33" s="102"/>
      <c r="C33" s="89"/>
      <c r="D33" s="58" t="s">
        <v>94</v>
      </c>
      <c r="E33" s="50"/>
      <c r="F33" s="65">
        <v>4.07</v>
      </c>
      <c r="G33" s="66"/>
      <c r="H33" s="36">
        <f t="shared" si="2"/>
        <v>0</v>
      </c>
    </row>
    <row r="34" spans="1:8" s="1" customFormat="1" ht="12.75" customHeight="1" x14ac:dyDescent="0.2">
      <c r="A34" s="107" t="s">
        <v>18</v>
      </c>
      <c r="B34" s="108"/>
      <c r="C34" s="108"/>
      <c r="D34" s="105"/>
      <c r="E34" s="105"/>
      <c r="F34" s="105"/>
      <c r="G34" s="105"/>
      <c r="H34" s="106"/>
    </row>
    <row r="35" spans="1:8" s="1" customFormat="1" ht="12.75" customHeight="1" x14ac:dyDescent="0.2">
      <c r="A35" s="87" t="s">
        <v>55</v>
      </c>
      <c r="B35" s="88"/>
      <c r="C35" s="89"/>
      <c r="D35" s="58" t="s">
        <v>95</v>
      </c>
      <c r="E35" s="50"/>
      <c r="F35" s="65">
        <v>15.23</v>
      </c>
      <c r="G35" s="66"/>
      <c r="H35" s="36">
        <f t="shared" ref="H35" si="3">E35*F35</f>
        <v>0</v>
      </c>
    </row>
    <row r="36" spans="1:8" s="1" customFormat="1" ht="12.75" customHeight="1" x14ac:dyDescent="0.2">
      <c r="A36" s="101" t="s">
        <v>19</v>
      </c>
      <c r="B36" s="102"/>
      <c r="C36" s="113"/>
      <c r="D36" s="58" t="s">
        <v>96</v>
      </c>
      <c r="E36" s="49"/>
      <c r="F36" s="65">
        <v>4.21</v>
      </c>
      <c r="G36" s="66"/>
      <c r="H36" s="36">
        <f t="shared" ref="H36" si="4">E36*F36</f>
        <v>0</v>
      </c>
    </row>
    <row r="37" spans="1:8" s="1" customFormat="1" ht="12.75" customHeight="1" x14ac:dyDescent="0.2">
      <c r="A37" s="107" t="s">
        <v>20</v>
      </c>
      <c r="B37" s="108"/>
      <c r="C37" s="108"/>
      <c r="D37" s="105"/>
      <c r="E37" s="105"/>
      <c r="F37" s="105"/>
      <c r="G37" s="105"/>
      <c r="H37" s="106"/>
    </row>
    <row r="38" spans="1:8" s="1" customFormat="1" ht="12.75" customHeight="1" x14ac:dyDescent="0.2">
      <c r="A38" s="101" t="s">
        <v>21</v>
      </c>
      <c r="B38" s="102"/>
      <c r="C38" s="89"/>
      <c r="D38" s="58" t="s">
        <v>97</v>
      </c>
      <c r="E38" s="49"/>
      <c r="F38" s="65">
        <v>1.1000000000000001</v>
      </c>
      <c r="G38" s="66"/>
      <c r="H38" s="36">
        <f>E38*F38</f>
        <v>0</v>
      </c>
    </row>
    <row r="39" spans="1:8" s="1" customFormat="1" ht="12.75" hidden="1" customHeight="1" x14ac:dyDescent="0.2">
      <c r="A39" s="90" t="s">
        <v>22</v>
      </c>
      <c r="B39" s="91"/>
      <c r="C39" s="91"/>
      <c r="D39" s="91"/>
      <c r="E39" s="92"/>
      <c r="F39" s="15"/>
      <c r="G39" s="30"/>
      <c r="H39" s="20"/>
    </row>
    <row r="40" spans="1:8" s="1" customFormat="1" ht="12.75" hidden="1" customHeight="1" x14ac:dyDescent="0.2">
      <c r="A40" s="4" t="s">
        <v>23</v>
      </c>
      <c r="B40" s="4"/>
      <c r="C40" s="4"/>
      <c r="D40" s="4"/>
      <c r="E40" s="6">
        <v>0</v>
      </c>
      <c r="F40" s="3"/>
      <c r="G40" s="31"/>
      <c r="H40" s="20"/>
    </row>
    <row r="41" spans="1:8" s="1" customFormat="1" ht="12.75" hidden="1" customHeight="1" x14ac:dyDescent="0.2">
      <c r="A41" s="4" t="s">
        <v>24</v>
      </c>
      <c r="B41" s="11"/>
      <c r="C41" s="11"/>
      <c r="D41" s="11"/>
      <c r="E41" s="7">
        <v>0</v>
      </c>
      <c r="F41" s="3"/>
      <c r="G41" s="31"/>
      <c r="H41" s="20"/>
    </row>
    <row r="42" spans="1:8" s="1" customFormat="1" ht="12.75" hidden="1" customHeight="1" x14ac:dyDescent="0.2">
      <c r="A42" s="4" t="s">
        <v>25</v>
      </c>
      <c r="B42" s="11"/>
      <c r="C42" s="11"/>
      <c r="D42" s="11"/>
      <c r="E42" s="2">
        <v>0</v>
      </c>
      <c r="F42" s="3"/>
      <c r="G42" s="31"/>
      <c r="H42" s="20"/>
    </row>
    <row r="43" spans="1:8" s="1" customFormat="1" ht="12.75" hidden="1" customHeight="1" x14ac:dyDescent="0.2">
      <c r="A43" s="4" t="s">
        <v>26</v>
      </c>
      <c r="B43" s="11"/>
      <c r="C43" s="11"/>
      <c r="D43" s="11"/>
      <c r="E43" s="2">
        <v>0</v>
      </c>
      <c r="F43" s="3"/>
      <c r="G43" s="31"/>
      <c r="H43" s="20"/>
    </row>
    <row r="44" spans="1:8" s="1" customFormat="1" ht="12.75" hidden="1" customHeight="1" x14ac:dyDescent="0.2">
      <c r="A44" s="4" t="s">
        <v>27</v>
      </c>
      <c r="B44" s="4"/>
      <c r="C44" s="4"/>
      <c r="D44" s="4"/>
      <c r="E44" s="5">
        <v>9.0015999999999998</v>
      </c>
      <c r="F44" s="3"/>
      <c r="G44" s="31"/>
      <c r="H44" s="20"/>
    </row>
    <row r="45" spans="1:8" s="1" customFormat="1" ht="12.75" hidden="1" customHeight="1" x14ac:dyDescent="0.2">
      <c r="A45" s="4" t="s">
        <v>28</v>
      </c>
      <c r="B45" s="12"/>
      <c r="C45" s="12"/>
      <c r="D45" s="12"/>
      <c r="E45" s="8">
        <v>0</v>
      </c>
      <c r="F45" s="3"/>
      <c r="G45" s="31"/>
      <c r="H45" s="20"/>
    </row>
    <row r="46" spans="1:8" s="1" customFormat="1" ht="12.75" hidden="1" customHeight="1" x14ac:dyDescent="0.2">
      <c r="A46" s="93" t="s">
        <v>29</v>
      </c>
      <c r="B46" s="94"/>
      <c r="C46" s="94"/>
      <c r="D46" s="94"/>
      <c r="E46" s="95"/>
      <c r="F46" s="15"/>
      <c r="G46" s="30"/>
      <c r="H46" s="20"/>
    </row>
    <row r="47" spans="1:8" s="1" customFormat="1" ht="12.75" hidden="1" customHeight="1" x14ac:dyDescent="0.2">
      <c r="A47" s="4" t="s">
        <v>30</v>
      </c>
      <c r="B47" s="11"/>
      <c r="C47" s="11"/>
      <c r="D47" s="11"/>
      <c r="E47" s="2">
        <v>0</v>
      </c>
      <c r="F47" s="3"/>
      <c r="G47" s="31"/>
      <c r="H47" s="20"/>
    </row>
    <row r="48" spans="1:8" s="1" customFormat="1" ht="12.75" hidden="1" customHeight="1" x14ac:dyDescent="0.2">
      <c r="A48" s="4" t="s">
        <v>31</v>
      </c>
      <c r="B48" s="4"/>
      <c r="C48" s="4"/>
      <c r="D48" s="4"/>
      <c r="E48" s="5">
        <v>0</v>
      </c>
      <c r="F48" s="3"/>
      <c r="G48" s="31"/>
      <c r="H48" s="20"/>
    </row>
    <row r="49" spans="1:8" s="1" customFormat="1" ht="12.75" hidden="1" customHeight="1" x14ac:dyDescent="0.2">
      <c r="A49" s="4" t="s">
        <v>32</v>
      </c>
      <c r="B49" s="4"/>
      <c r="C49" s="4"/>
      <c r="D49" s="4"/>
      <c r="E49" s="5">
        <v>0</v>
      </c>
      <c r="F49" s="3"/>
      <c r="G49" s="31"/>
      <c r="H49" s="20"/>
    </row>
    <row r="50" spans="1:8" s="1" customFormat="1" ht="12.75" hidden="1" customHeight="1" x14ac:dyDescent="0.2">
      <c r="A50" s="4" t="s">
        <v>33</v>
      </c>
      <c r="B50" s="12"/>
      <c r="C50" s="12"/>
      <c r="D50" s="12"/>
      <c r="E50" s="8">
        <v>0</v>
      </c>
      <c r="F50" s="3"/>
      <c r="G50" s="31"/>
      <c r="H50" s="20"/>
    </row>
    <row r="51" spans="1:8" s="1" customFormat="1" ht="12.75" customHeight="1" x14ac:dyDescent="0.2">
      <c r="A51" s="109" t="s">
        <v>61</v>
      </c>
      <c r="B51" s="110"/>
      <c r="C51" s="110"/>
      <c r="D51" s="111"/>
      <c r="E51" s="111"/>
      <c r="F51" s="111"/>
      <c r="G51" s="111"/>
      <c r="H51" s="112"/>
    </row>
    <row r="52" spans="1:8" s="1" customFormat="1" ht="12.75" customHeight="1" x14ac:dyDescent="0.2">
      <c r="A52" s="101" t="s">
        <v>34</v>
      </c>
      <c r="B52" s="102"/>
      <c r="C52" s="89"/>
      <c r="D52" s="58" t="s">
        <v>98</v>
      </c>
      <c r="E52" s="50"/>
      <c r="F52" s="65">
        <v>1.07</v>
      </c>
      <c r="G52" s="66"/>
      <c r="H52" s="36">
        <f t="shared" ref="H52:H54" si="5">E52*F52</f>
        <v>0</v>
      </c>
    </row>
    <row r="53" spans="1:8" s="1" customFormat="1" ht="12.75" customHeight="1" x14ac:dyDescent="0.2">
      <c r="A53" s="101" t="s">
        <v>35</v>
      </c>
      <c r="B53" s="102"/>
      <c r="C53" s="89"/>
      <c r="D53" s="58" t="s">
        <v>99</v>
      </c>
      <c r="E53" s="50"/>
      <c r="F53" s="65">
        <v>1.48</v>
      </c>
      <c r="G53" s="66"/>
      <c r="H53" s="36">
        <f t="shared" si="5"/>
        <v>0</v>
      </c>
    </row>
    <row r="54" spans="1:8" s="1" customFormat="1" ht="12.75" customHeight="1" x14ac:dyDescent="0.2">
      <c r="A54" s="101" t="s">
        <v>36</v>
      </c>
      <c r="B54" s="102"/>
      <c r="C54" s="89"/>
      <c r="D54" s="58" t="s">
        <v>100</v>
      </c>
      <c r="E54" s="50"/>
      <c r="F54" s="65">
        <v>1.48</v>
      </c>
      <c r="G54" s="66"/>
      <c r="H54" s="36">
        <f t="shared" si="5"/>
        <v>0</v>
      </c>
    </row>
    <row r="55" spans="1:8" s="1" customFormat="1" ht="12.75" customHeight="1" x14ac:dyDescent="0.2">
      <c r="A55" s="107" t="s">
        <v>37</v>
      </c>
      <c r="B55" s="108"/>
      <c r="C55" s="108"/>
      <c r="D55" s="105"/>
      <c r="E55" s="105"/>
      <c r="F55" s="105"/>
      <c r="G55" s="105"/>
      <c r="H55" s="106"/>
    </row>
    <row r="56" spans="1:8" s="1" customFormat="1" ht="12.75" customHeight="1" x14ac:dyDescent="0.2">
      <c r="A56" s="117" t="s">
        <v>101</v>
      </c>
      <c r="B56" s="118"/>
      <c r="C56" s="119"/>
      <c r="D56" s="27"/>
      <c r="E56" s="49"/>
      <c r="F56" s="123">
        <v>0.62</v>
      </c>
      <c r="G56" s="124"/>
      <c r="H56" s="36">
        <f t="shared" ref="H56:H60" si="6">E56*F56</f>
        <v>0</v>
      </c>
    </row>
    <row r="57" spans="1:8" s="1" customFormat="1" ht="12.75" customHeight="1" x14ac:dyDescent="0.2">
      <c r="A57" s="120"/>
      <c r="B57" s="121"/>
      <c r="C57" s="122"/>
      <c r="D57" s="27"/>
      <c r="E57" s="50"/>
      <c r="F57" s="70"/>
      <c r="G57" s="71"/>
      <c r="H57" s="36">
        <f t="shared" si="6"/>
        <v>0</v>
      </c>
    </row>
    <row r="58" spans="1:8" s="1" customFormat="1" ht="12.75" customHeight="1" x14ac:dyDescent="0.2">
      <c r="A58" s="120"/>
      <c r="B58" s="121"/>
      <c r="C58" s="122"/>
      <c r="D58" s="27"/>
      <c r="E58" s="50"/>
      <c r="F58" s="70"/>
      <c r="G58" s="71"/>
      <c r="H58" s="36">
        <f t="shared" si="6"/>
        <v>0</v>
      </c>
    </row>
    <row r="59" spans="1:8" s="1" customFormat="1" ht="12.75" customHeight="1" x14ac:dyDescent="0.2">
      <c r="A59" s="120"/>
      <c r="B59" s="121"/>
      <c r="C59" s="122"/>
      <c r="D59" s="27"/>
      <c r="E59" s="50"/>
      <c r="F59" s="70"/>
      <c r="G59" s="71"/>
      <c r="H59" s="36">
        <f t="shared" si="6"/>
        <v>0</v>
      </c>
    </row>
    <row r="60" spans="1:8" s="1" customFormat="1" ht="12.75" customHeight="1" thickBot="1" x14ac:dyDescent="0.25">
      <c r="A60" s="114"/>
      <c r="B60" s="115"/>
      <c r="C60" s="116"/>
      <c r="D60" s="34"/>
      <c r="E60" s="51"/>
      <c r="F60" s="72"/>
      <c r="G60" s="73"/>
      <c r="H60" s="36">
        <f t="shared" si="6"/>
        <v>0</v>
      </c>
    </row>
    <row r="61" spans="1:8" ht="14.1" customHeight="1" thickTop="1" x14ac:dyDescent="0.2">
      <c r="A61" s="59" t="s">
        <v>103</v>
      </c>
      <c r="B61" s="59"/>
      <c r="C61" s="35"/>
      <c r="D61" s="35"/>
      <c r="E61" s="76" t="s">
        <v>42</v>
      </c>
      <c r="F61" s="76"/>
      <c r="G61" s="77"/>
      <c r="H61" s="37">
        <f>SUM(H6:H18)+SUM(H20:H29)+SUM(H31:H33)+SUM(H35:H36)+SUM(H38)+SUM(H52:H54)+SUM(H56:H60)</f>
        <v>0</v>
      </c>
    </row>
    <row r="62" spans="1:8" ht="14.1" customHeight="1" thickBot="1" x14ac:dyDescent="0.25">
      <c r="A62" s="9"/>
      <c r="B62" s="9"/>
      <c r="C62" s="9"/>
      <c r="D62" s="9"/>
      <c r="E62" s="13" t="s">
        <v>54</v>
      </c>
      <c r="F62" s="74">
        <v>0.21</v>
      </c>
      <c r="G62" s="75"/>
      <c r="H62" s="38">
        <f>H61*F62</f>
        <v>0</v>
      </c>
    </row>
    <row r="63" spans="1:8" ht="14.1" customHeight="1" thickTop="1" thickBot="1" x14ac:dyDescent="0.25">
      <c r="A63" s="9"/>
      <c r="B63" s="9"/>
      <c r="C63" s="9"/>
      <c r="D63" s="9"/>
      <c r="E63" s="13"/>
      <c r="F63" s="25"/>
      <c r="G63" s="25"/>
      <c r="H63" s="39"/>
    </row>
    <row r="64" spans="1:8" ht="14.1" customHeight="1" thickTop="1" thickBot="1" x14ac:dyDescent="0.25">
      <c r="A64" s="9"/>
      <c r="B64" s="9"/>
      <c r="C64" s="28" t="s">
        <v>59</v>
      </c>
      <c r="D64" s="69"/>
      <c r="E64" s="69"/>
      <c r="F64" s="69"/>
      <c r="G64" s="29"/>
      <c r="H64" s="40">
        <f>H61+H62</f>
        <v>0</v>
      </c>
    </row>
    <row r="65" spans="1:8" ht="13.5" thickBot="1" x14ac:dyDescent="0.25">
      <c r="H65" s="41"/>
    </row>
    <row r="66" spans="1:8" ht="14.1" customHeight="1" thickTop="1" thickBot="1" x14ac:dyDescent="0.25">
      <c r="C66" s="10" t="s">
        <v>43</v>
      </c>
      <c r="D66" s="67"/>
      <c r="E66" s="67"/>
      <c r="F66" s="67"/>
      <c r="G66" s="32" t="s">
        <v>56</v>
      </c>
      <c r="H66" s="42"/>
    </row>
    <row r="67" spans="1:8" ht="8.1" customHeight="1" thickTop="1" thickBot="1" x14ac:dyDescent="0.25">
      <c r="C67" s="10"/>
      <c r="D67" s="44"/>
      <c r="E67" s="45"/>
      <c r="F67" s="46"/>
      <c r="G67" s="33"/>
      <c r="H67" s="43"/>
    </row>
    <row r="68" spans="1:8" ht="14.1" customHeight="1" thickTop="1" thickBot="1" x14ac:dyDescent="0.25">
      <c r="C68" s="10" t="s">
        <v>44</v>
      </c>
      <c r="D68" s="67"/>
      <c r="E68" s="67"/>
      <c r="F68" s="67"/>
      <c r="G68" s="32" t="s">
        <v>57</v>
      </c>
      <c r="H68" s="42"/>
    </row>
    <row r="69" spans="1:8" ht="8.1" customHeight="1" thickTop="1" thickBot="1" x14ac:dyDescent="0.25">
      <c r="C69" s="10"/>
      <c r="D69" s="10"/>
      <c r="E69" s="17"/>
      <c r="F69" s="13"/>
      <c r="G69" s="33"/>
      <c r="H69" s="43"/>
    </row>
    <row r="70" spans="1:8" ht="14.1" customHeight="1" thickTop="1" thickBot="1" x14ac:dyDescent="0.25">
      <c r="C70" s="10" t="s">
        <v>102</v>
      </c>
      <c r="D70" s="68"/>
      <c r="E70" s="69"/>
      <c r="F70" s="69"/>
      <c r="G70" s="32" t="s">
        <v>58</v>
      </c>
      <c r="H70" s="40">
        <f>H64+H66-H68</f>
        <v>0</v>
      </c>
    </row>
    <row r="71" spans="1:8" ht="8.25" customHeight="1" x14ac:dyDescent="0.2"/>
    <row r="72" spans="1:8" x14ac:dyDescent="0.2">
      <c r="C72" s="22" t="s">
        <v>104</v>
      </c>
      <c r="D72" s="100"/>
      <c r="E72" s="100"/>
      <c r="F72" s="24"/>
      <c r="G72" s="24"/>
      <c r="H72" s="24"/>
    </row>
    <row r="73" spans="1:8" ht="6.75" customHeight="1" x14ac:dyDescent="0.2">
      <c r="A73" s="9"/>
      <c r="B73" s="9"/>
      <c r="C73" s="23"/>
      <c r="D73" s="24"/>
      <c r="E73" s="24"/>
      <c r="F73" s="24"/>
      <c r="G73" s="24"/>
      <c r="H73" s="24"/>
    </row>
    <row r="74" spans="1:8" x14ac:dyDescent="0.2">
      <c r="A74" s="22"/>
      <c r="B74" s="22"/>
      <c r="C74" s="86"/>
      <c r="D74" s="86"/>
      <c r="E74" s="86"/>
      <c r="F74" s="24"/>
      <c r="G74" s="24"/>
      <c r="H74" s="24"/>
    </row>
    <row r="75" spans="1:8" x14ac:dyDescent="0.2">
      <c r="A75" s="14"/>
      <c r="B75" s="57"/>
      <c r="C75" s="14"/>
      <c r="D75" s="14"/>
      <c r="E75" s="14"/>
      <c r="F75" s="14"/>
      <c r="G75" s="17"/>
      <c r="H75" s="14"/>
    </row>
    <row r="76" spans="1:8" x14ac:dyDescent="0.2">
      <c r="A76" s="14"/>
      <c r="B76" s="57"/>
      <c r="C76" s="14"/>
      <c r="D76" s="14"/>
      <c r="E76" s="14"/>
      <c r="F76" s="14"/>
      <c r="G76" s="17"/>
      <c r="H76" s="14"/>
    </row>
    <row r="77" spans="1:8" ht="28.5" x14ac:dyDescent="0.45">
      <c r="A77" s="14"/>
      <c r="B77" s="57"/>
      <c r="C77" s="55" t="s">
        <v>66</v>
      </c>
      <c r="D77" s="14"/>
      <c r="E77" s="14"/>
      <c r="F77" s="14"/>
      <c r="G77" s="17"/>
      <c r="H77" s="14"/>
    </row>
    <row r="78" spans="1:8" x14ac:dyDescent="0.2">
      <c r="A78" s="14"/>
      <c r="B78" s="57"/>
      <c r="C78" s="56" t="s">
        <v>67</v>
      </c>
      <c r="D78" s="14"/>
      <c r="E78" s="14"/>
      <c r="F78" s="14"/>
      <c r="G78" s="17"/>
      <c r="H78" s="14"/>
    </row>
    <row r="79" spans="1:8" x14ac:dyDescent="0.2">
      <c r="C79" s="56" t="s">
        <v>68</v>
      </c>
    </row>
  </sheetData>
  <sheetProtection algorithmName="SHA-512" hashValue="GpUdK+lhf/NqrHmm4CaB6YSoX0HBmbCGcum5II0RD9qh43RrnfZimdqDAazae93qr7Im7m33njyBNhknZ5P80A==" saltValue="wTypZu8hVlvofzpAsT/tkQ==" spinCount="100000" sheet="1" selectLockedCells="1"/>
  <mergeCells count="93">
    <mergeCell ref="A60:C60"/>
    <mergeCell ref="A52:C52"/>
    <mergeCell ref="A53:C53"/>
    <mergeCell ref="A54:C54"/>
    <mergeCell ref="A56:C56"/>
    <mergeCell ref="A57:C57"/>
    <mergeCell ref="A58:C58"/>
    <mergeCell ref="A55:H55"/>
    <mergeCell ref="F52:G52"/>
    <mergeCell ref="F53:G53"/>
    <mergeCell ref="F54:G54"/>
    <mergeCell ref="F56:G56"/>
    <mergeCell ref="F57:G57"/>
    <mergeCell ref="A59:C59"/>
    <mergeCell ref="A26:C26"/>
    <mergeCell ref="A27:C27"/>
    <mergeCell ref="A28:C28"/>
    <mergeCell ref="A29:C29"/>
    <mergeCell ref="A31:C31"/>
    <mergeCell ref="A32:C32"/>
    <mergeCell ref="A51:H51"/>
    <mergeCell ref="A33:C33"/>
    <mergeCell ref="A35:C35"/>
    <mergeCell ref="A36:C36"/>
    <mergeCell ref="A38:C38"/>
    <mergeCell ref="F35:G35"/>
    <mergeCell ref="F36:G36"/>
    <mergeCell ref="F38:G38"/>
    <mergeCell ref="D72:E72"/>
    <mergeCell ref="A6:C6"/>
    <mergeCell ref="A9:C9"/>
    <mergeCell ref="A10:C10"/>
    <mergeCell ref="A11:C11"/>
    <mergeCell ref="A12:C12"/>
    <mergeCell ref="A17:C17"/>
    <mergeCell ref="A19:H19"/>
    <mergeCell ref="A30:H30"/>
    <mergeCell ref="A34:H34"/>
    <mergeCell ref="A37:H37"/>
    <mergeCell ref="A20:C20"/>
    <mergeCell ref="A21:C21"/>
    <mergeCell ref="A22:C22"/>
    <mergeCell ref="A23:C23"/>
    <mergeCell ref="A24:C24"/>
    <mergeCell ref="C1:H1"/>
    <mergeCell ref="C74:E74"/>
    <mergeCell ref="A18:C18"/>
    <mergeCell ref="A39:E39"/>
    <mergeCell ref="A46:E46"/>
    <mergeCell ref="F20:G20"/>
    <mergeCell ref="F26:G26"/>
    <mergeCell ref="F27:G27"/>
    <mergeCell ref="F28:G28"/>
    <mergeCell ref="F29:G29"/>
    <mergeCell ref="F31:G31"/>
    <mergeCell ref="F32:G32"/>
    <mergeCell ref="F33:G33"/>
    <mergeCell ref="A25:C25"/>
    <mergeCell ref="D2:H2"/>
    <mergeCell ref="A4:C4"/>
    <mergeCell ref="F4:G4"/>
    <mergeCell ref="F6:G6"/>
    <mergeCell ref="F7:G7"/>
    <mergeCell ref="F8:G8"/>
    <mergeCell ref="F9:G9"/>
    <mergeCell ref="A5:H5"/>
    <mergeCell ref="F10:G10"/>
    <mergeCell ref="F11:G11"/>
    <mergeCell ref="F12:G12"/>
    <mergeCell ref="D68:F68"/>
    <mergeCell ref="D70:F70"/>
    <mergeCell ref="D64:F64"/>
    <mergeCell ref="F58:G58"/>
    <mergeCell ref="F59:G59"/>
    <mergeCell ref="F60:G60"/>
    <mergeCell ref="F62:G62"/>
    <mergeCell ref="E61:G61"/>
    <mergeCell ref="D66:F66"/>
    <mergeCell ref="A13:C13"/>
    <mergeCell ref="A14:C14"/>
    <mergeCell ref="A15:C15"/>
    <mergeCell ref="A16:C16"/>
    <mergeCell ref="F14:G14"/>
    <mergeCell ref="F15:G15"/>
    <mergeCell ref="F16:G16"/>
    <mergeCell ref="F21:G21"/>
    <mergeCell ref="F22:G22"/>
    <mergeCell ref="F23:G23"/>
    <mergeCell ref="F24:G24"/>
    <mergeCell ref="F25:G25"/>
    <mergeCell ref="F17:G17"/>
    <mergeCell ref="F18:G18"/>
    <mergeCell ref="F13:G1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83" fitToWidth="4" orientation="portrait" r:id="rId1"/>
  <headerFooter alignWithMargins="0">
    <oddFooter xml:space="preserve">&amp;L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2018 TARIFAS CANINAS </vt:lpstr>
      <vt:lpstr>'2018 TARIFAS CANINAS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Moreno</dc:creator>
  <cp:lastModifiedBy>Francisco Moreno</cp:lastModifiedBy>
  <cp:lastPrinted>2019-12-18T10:05:06Z</cp:lastPrinted>
  <dcterms:created xsi:type="dcterms:W3CDTF">2010-06-07T09:58:26Z</dcterms:created>
  <dcterms:modified xsi:type="dcterms:W3CDTF">2019-12-18T11:15:41Z</dcterms:modified>
</cp:coreProperties>
</file>