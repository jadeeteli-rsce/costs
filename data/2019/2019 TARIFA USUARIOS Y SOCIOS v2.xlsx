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xr:revisionPtr revIDLastSave="0" documentId="11_2661CC35AADD3B41F82115941F27374A52E51AC4" xr6:coauthVersionLast="47" xr6:coauthVersionMax="47" xr10:uidLastSave="{00000000-0000-0000-0000-000000000000}"/>
  <bookViews>
    <workbookView xWindow="0" yWindow="0" windowWidth="26790" windowHeight="11775" xr2:uid="{00000000-000D-0000-FFFF-FFFF00000000}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1" i="1" l="1"/>
  <c r="F100" i="1"/>
  <c r="G98" i="1"/>
  <c r="F98" i="1"/>
  <c r="G97" i="1"/>
  <c r="F97" i="1"/>
  <c r="G96" i="1"/>
  <c r="F96" i="1"/>
  <c r="G95" i="1"/>
  <c r="F95" i="1"/>
  <c r="G93" i="1"/>
  <c r="F93" i="1"/>
  <c r="G92" i="1"/>
  <c r="F92" i="1"/>
  <c r="G91" i="1"/>
  <c r="F91" i="1"/>
  <c r="G90" i="1"/>
  <c r="F90" i="1"/>
  <c r="G88" i="1"/>
  <c r="F88" i="1"/>
  <c r="F87" i="1"/>
  <c r="F86" i="1"/>
  <c r="F85" i="1"/>
  <c r="G84" i="1"/>
  <c r="F84" i="1"/>
  <c r="G82" i="1"/>
  <c r="F82" i="1"/>
  <c r="G81" i="1"/>
  <c r="F81" i="1"/>
  <c r="F80" i="1"/>
  <c r="G79" i="1"/>
  <c r="F79" i="1"/>
  <c r="G78" i="1"/>
  <c r="F78" i="1"/>
  <c r="G76" i="1"/>
  <c r="F76" i="1"/>
  <c r="G75" i="1"/>
  <c r="F75" i="1"/>
  <c r="G74" i="1"/>
  <c r="F74" i="1"/>
  <c r="G73" i="1"/>
  <c r="F73" i="1"/>
  <c r="F72" i="1"/>
  <c r="F71" i="1"/>
  <c r="G70" i="1"/>
  <c r="F70" i="1"/>
  <c r="G69" i="1"/>
  <c r="F69" i="1"/>
  <c r="G63" i="1"/>
  <c r="F63" i="1"/>
  <c r="F61" i="1"/>
  <c r="F60" i="1"/>
  <c r="F55" i="1"/>
  <c r="F54" i="1"/>
  <c r="G52" i="1"/>
  <c r="F52" i="1"/>
  <c r="G51" i="1"/>
  <c r="F51" i="1"/>
  <c r="G50" i="1"/>
  <c r="F50" i="1"/>
  <c r="G48" i="1"/>
  <c r="F48" i="1"/>
  <c r="G47" i="1"/>
  <c r="F47" i="1"/>
  <c r="G46" i="1"/>
  <c r="F46" i="1"/>
  <c r="G45" i="1"/>
  <c r="F45" i="1"/>
  <c r="F43" i="1"/>
  <c r="F42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0" i="1"/>
  <c r="F30" i="1"/>
  <c r="G29" i="1"/>
  <c r="F29" i="1"/>
  <c r="F28" i="1"/>
  <c r="F27" i="1"/>
  <c r="G26" i="1"/>
  <c r="F26" i="1"/>
  <c r="G25" i="1"/>
  <c r="F25" i="1"/>
  <c r="G24" i="1"/>
  <c r="F24" i="1"/>
  <c r="G23" i="1"/>
  <c r="F23" i="1"/>
  <c r="F22" i="1"/>
  <c r="F21" i="1"/>
  <c r="G20" i="1"/>
  <c r="F20" i="1"/>
  <c r="G19" i="1"/>
  <c r="F19" i="1"/>
  <c r="G18" i="1"/>
  <c r="F18" i="1"/>
</calcChain>
</file>

<file path=xl/sharedStrings.xml><?xml version="1.0" encoding="utf-8"?>
<sst xmlns="http://schemas.openxmlformats.org/spreadsheetml/2006/main" count="108" uniqueCount="104">
  <si>
    <r>
      <t>REAL SOCIEDAD CANINA DE ESPAÑA</t>
    </r>
    <r>
      <rPr>
        <sz val="20"/>
        <color theme="1"/>
        <rFont val="Calibri"/>
        <family val="2"/>
        <scheme val="minor"/>
      </rPr>
      <t xml:space="preserve">                                </t>
    </r>
  </si>
  <si>
    <t>Declarada de Utilidad Pública por Real Orden del Ministerio de Fomento de 27-02-1918</t>
  </si>
  <si>
    <t>Miembro de la Fédération Cynologique Internacionale (FCI) desde 1912</t>
  </si>
  <si>
    <t>Calle Maldonado, 56 - 28006 Madrid</t>
  </si>
  <si>
    <r>
      <rPr>
        <sz val="10"/>
        <color theme="1"/>
        <rFont val="Wingdings"/>
        <charset val="2"/>
      </rPr>
      <t>(</t>
    </r>
    <r>
      <rPr>
        <sz val="10"/>
        <color theme="1"/>
        <rFont val="Calibri"/>
        <family val="2"/>
      </rPr>
      <t xml:space="preserve"> 91-426 49 60 -- </t>
    </r>
    <r>
      <rPr>
        <sz val="10"/>
        <color theme="1"/>
        <rFont val="Wingdings"/>
        <charset val="2"/>
      </rPr>
      <t>:</t>
    </r>
    <r>
      <rPr>
        <sz val="10"/>
        <color theme="1"/>
        <rFont val="Calibri"/>
        <family val="2"/>
      </rPr>
      <t xml:space="preserve"> www.rsce.es -- </t>
    </r>
    <r>
      <rPr>
        <sz val="10"/>
        <color theme="1"/>
        <rFont val="Wingdings"/>
        <charset val="2"/>
      </rPr>
      <t>*</t>
    </r>
    <r>
      <rPr>
        <sz val="10"/>
        <color theme="1"/>
        <rFont val="Calibri"/>
        <family val="2"/>
      </rPr>
      <t xml:space="preserve"> administracion@rsce.es</t>
    </r>
  </si>
  <si>
    <t>TARIFA GENERAL DE PRECIOS</t>
  </si>
  <si>
    <t>(en vigor a partir del día 1 de enero de 2019)</t>
  </si>
  <si>
    <t>El pago de los trámites podrá realizarse mediante transferencia bancaria realizada a la siguiente cuenta:</t>
  </si>
  <si>
    <t>TITULAR</t>
  </si>
  <si>
    <t>REAL SOCIEDAD CANINA DE ESPAÑA</t>
  </si>
  <si>
    <t>ENTIDAD</t>
  </si>
  <si>
    <t>BANCO SANTANDER</t>
  </si>
  <si>
    <t>NÚMERO DE CUENTA</t>
  </si>
  <si>
    <t>ES32 0030 8269 3800 0027 4271</t>
  </si>
  <si>
    <t>CÓDIGO BIC (para pagos desde el extranjero)</t>
  </si>
  <si>
    <t>BSCHESMM</t>
  </si>
  <si>
    <t>TRÁMITES</t>
  </si>
  <si>
    <t>Socios de la RSCE</t>
  </si>
  <si>
    <t>Resto de usuarios de la RSCE</t>
  </si>
  <si>
    <t>PEDIGREES Y TRANSFERENCIA DE PROPIEDAD</t>
  </si>
  <si>
    <t>PEDIGREE CON TRANSFERENCIA TRES GENERACIONES</t>
  </si>
  <si>
    <t>PEDIGREE CON TRANSFERENCIA CUATRO GENERACIONES (si la genealogía consta en la base de datos del LOE)</t>
  </si>
  <si>
    <t>PEDIGREE PARA PERROS INSCRITOS EN EL RRC (sin genealógia completa)</t>
  </si>
  <si>
    <t>PEDIGREE DE EXPORTACIÓN TRES GENERACIONES</t>
  </si>
  <si>
    <t>PEDIGREE DE EXPORTACIÓN CUATRO GENERACIONES (si la genealogía consta en la base de datos del LOE)</t>
  </si>
  <si>
    <t>PEDIGREE SIN TRANSFERENCIA</t>
  </si>
  <si>
    <t>PEDIGREE SIN TRANSFERENCIA CUATRO GENERACIONES (Si la genealogía consta en la base de datos del LOE)</t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</si>
  <si>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</si>
  <si>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</si>
  <si>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</si>
  <si>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</si>
  <si>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TRANSFERENCIA DE PROPIEDAD EN PEDIGREE, REGISTRO INICIAL O PERRO IMPORTADO</t>
  </si>
  <si>
    <t>CESIÓN TEMPORAL DE PROPIEDAD DE LOS REPRODUCTORES</t>
  </si>
  <si>
    <t>INSCRIPCIONES EN EL L.O.E. / R.R.C.</t>
  </si>
  <si>
    <t>INSCRIPCIÓN IMPORTADOS</t>
  </si>
  <si>
    <r>
      <t>INSCRIPCION PERROS DE OTROS LIBROS GENEALÓGICOS</t>
    </r>
    <r>
      <rPr>
        <b/>
        <sz val="8"/>
        <color theme="1"/>
        <rFont val="Calibri"/>
        <family val="2"/>
        <scheme val="minor"/>
      </rPr>
      <t xml:space="preserve"> (ESTE TRÁMITE NO ADMITE PLUS DE URGENCIA)</t>
    </r>
  </si>
  <si>
    <t>FORMULARIO IDENTIFICACIÓN (por cachorro al notificar nacimiento)</t>
  </si>
  <si>
    <t>INSCRIPCIÓN CACHORRO</t>
  </si>
  <si>
    <t xml:space="preserve">RECARGO 100% EN INSCRIPCION CACHORRO (más de 6 meses y menos de 9 meses de edad) Reglamento LOE) </t>
  </si>
  <si>
    <t xml:space="preserve">RECARGO 200% EN INSCRIPCION CACHORRO (más de 9 meses y menos de 12 meses de edad)  Reglamento LOE) </t>
  </si>
  <si>
    <t xml:space="preserve">RECARGO 300% EN INSCRIPCION CACHORRO (más de 12 meses y menos de 18 meses de edad) Reglamento LOE) </t>
  </si>
  <si>
    <t>DUPLICADO JUSTIFICANTE DE INSCRIPCIÓN</t>
  </si>
  <si>
    <t>BAJA DE UN PERRO EN EL L.O.E. / R.R.C. (para su posterior inscripción en otros libros genealógicos)</t>
  </si>
  <si>
    <t>IDENTIFICACIÓN GENÉTICA</t>
  </si>
  <si>
    <t>ANALÍTICA IDENTIFICACIÓN GENÉTICA CANINA A.D.N. / PRUEBAS DE PARTERNIDAD (por perro) - SANGRE</t>
  </si>
  <si>
    <t>ANALÍTICA IDENTIFICACIÓN GENÉTICA CANINA A.D.N. / PRUEBAS DE PARTERNIDAD (por perro) - SALIVA</t>
  </si>
  <si>
    <t>DISPLASIA</t>
  </si>
  <si>
    <t>TRAMITACIÓN VALORACIÓN DEL GRADO DE DISPLASIA DE CODOS</t>
  </si>
  <si>
    <t>TRAMITACIÓN VALORACIÓN DEL GRADO DE DISPLASIA DE CADERA</t>
  </si>
  <si>
    <t>RECURSO AL DIAGNOSTICO DE DISPLASIA</t>
  </si>
  <si>
    <t>CERTIFICADO INTERNACIONAL DE DISPLASIA</t>
  </si>
  <si>
    <t>AFIJOS</t>
  </si>
  <si>
    <t>SOLICITUD DE AFIJO</t>
  </si>
  <si>
    <t>RECTIFICACIÓN DE AFIJO</t>
  </si>
  <si>
    <t>DUPLICADO DE AFIJO</t>
  </si>
  <si>
    <t>REGISTROS INICIALES Y CONFIRMACIONES DE RAZA</t>
  </si>
  <si>
    <t>REGISTRO INCIAL DE RAZA</t>
  </si>
  <si>
    <t>CONFIRMACIÓN DE RAZA (perros de razas españolas)</t>
  </si>
  <si>
    <t>(CONTINUACIÓN)</t>
  </si>
  <si>
    <t>IMPRESOS</t>
  </si>
  <si>
    <t>IMPRESO ALTA DE CAMADA</t>
  </si>
  <si>
    <t>INFORMES SOLICITADOS A LA R.S.C.E. (precio por folio impreso)</t>
  </si>
  <si>
    <t>PLUS POR TRAMITACION URGENTE</t>
  </si>
  <si>
    <t>TRAMITACION URGENTE DE CAMADAS Y PEDIGREES (exclusivamente a través de las oficinas de la RSCE)</t>
  </si>
  <si>
    <t>TRAMITACION URGENTE CARTILLAS DE PRUEBAS DEPORTIVAS (exclusivamente a través de las oficinas de la RSCE)</t>
  </si>
  <si>
    <t>TRAMITACION URGENTE  CARTILLA DE ASISTENTE (exclusivamente a través de las oficinas de la RSCE)</t>
  </si>
  <si>
    <t>TRAMITACION URGENTE CERTIFICADOS DE TRABAJO (se realizará exclusivamente a través de las oficinas de la RSCE)</t>
  </si>
  <si>
    <t>TRAMITACION URGENTE CERTIFICADOS DE COLA CORTA (se realizará exclusivamente a través de las oficinas de la RSCE)</t>
  </si>
  <si>
    <t>TRABAJO (IPO /OBEDIENCIA / MONDIORING)</t>
  </si>
  <si>
    <t>LICENCIA INICIAL</t>
  </si>
  <si>
    <t>RENOVACIÓN ANUAL LICENCIA</t>
  </si>
  <si>
    <t>CUOTA ANUAL GRUPO DE TRABAJO</t>
  </si>
  <si>
    <t>CUOTA ANUAL MULTIDISCIPLINAR</t>
  </si>
  <si>
    <t>CERTIFICADO DE TRABAJO</t>
  </si>
  <si>
    <t>CARTILLA DE PRUEBAS DEPORTIVAS DE TRABAJO</t>
  </si>
  <si>
    <t>CARTILLA DE PRUEBAS DEPORTIVAS DE TRABAJO PARA PERROS SIN PEDIGREE</t>
  </si>
  <si>
    <t>CARTILLA ASISTENTE</t>
  </si>
  <si>
    <t>AGILITY</t>
  </si>
  <si>
    <t>LICENCIA INCIAL</t>
  </si>
  <si>
    <t>CUOTA ANUAL CLUB AGILITY</t>
  </si>
  <si>
    <t>CARTILLA DE PRUEBAS DEPORTIVAS DE AGILITY</t>
  </si>
  <si>
    <t>3ª MEDICIÓN EJEMPLARES PARA DETERMINAR CATEGORIA DE PARTICIPACIÓN (según Reglamento)</t>
  </si>
  <si>
    <t>MUESTRA, RASTRO Y MADRIGUERA</t>
  </si>
  <si>
    <t>CARTILLA DE PRUEBAS DEPORTIVAS DE CAZA</t>
  </si>
  <si>
    <t>IMPRESO PARA PRUEBAS DE C.A.C.T. - C.A.C.I.T.</t>
  </si>
  <si>
    <t>IMPRESO DIPLOMA DE INICIACIÓN (original y 3 copias)</t>
  </si>
  <si>
    <t>IMPRESO PRUEBAS APTITUDES NATURALES (original y 3 copias)</t>
  </si>
  <si>
    <t>CERTIFICADO DE TRABAJO PERROS DE MUESTRA RASTRO Y MADRIGUERA</t>
  </si>
  <si>
    <t>CARTILLAS PERROS DE RASTRO DEL GRUPO 6º</t>
  </si>
  <si>
    <t>1ª CARTILLA</t>
  </si>
  <si>
    <t>2ª CARTILLA</t>
  </si>
  <si>
    <t>3ª CARTILLA</t>
  </si>
  <si>
    <t>4ª CARTILLA Y SUCESIVAS HASTA EL NÚMERO MÁXIMO DE PERROS QUE COMPONEN UNA JAURÍA SEGÚN EL REGLAMENTO</t>
  </si>
  <si>
    <t>OTROS SERVICIOS</t>
  </si>
  <si>
    <t>CARTILLA PARA PRUEBAS DEPORTIVAS POLIVALENTES - PERRO DE AGUA ESPAÑOL</t>
  </si>
  <si>
    <t>EXPEDICIÓN TITULOS DE CAMPEONES</t>
  </si>
  <si>
    <t>TRAMITACIÓN TITULOS F.C.I.</t>
  </si>
  <si>
    <t>CERTIFICADO  DE COLA CORTA</t>
  </si>
  <si>
    <t>SOCIOS</t>
  </si>
  <si>
    <t>CUOTA INICIAL SOCIO (incluida la cuota del primer año natural)</t>
  </si>
  <si>
    <t>CUOTA ANUAL SOCIO</t>
  </si>
  <si>
    <t>Taifas aprobadas en la reunión del Comité de Dirección de fecha 20 de noviembre de 2018</t>
  </si>
  <si>
    <t>NOTA: Estas tarífas pueden ser modificadas sin previo aviso por la RSCE</t>
  </si>
  <si>
    <t>PARA PODER APLICAR LA TARIFA DE SOCIOS, TODOS LOS COPROPIETARIOS DEBEN SER SOCIOS DE LA LA R.S.C.E.                                                                                                          Y ESTAR AL CORRIENTE DE PAGO DE LA CUOTA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</si>
</sst>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4" fontId="11" fillId="0" borderId="1" xfId="0" applyNumberFormat="1" applyFont="1" applyBorder="1"/>
    <xf numFmtId="0" fontId="4" fillId="0" borderId="0" xfId="0" applyFont="1"/>
    <xf numFmtId="4" fontId="11" fillId="0" borderId="7" xfId="0" applyNumberFormat="1" applyFont="1" applyBorder="1"/>
    <xf numFmtId="4" fontId="11" fillId="0" borderId="4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indent="1"/>
    </xf>
    <xf numFmtId="0" fontId="9" fillId="0" borderId="1" xfId="0" applyFont="1" applyBorder="1" applyAlignment="1">
      <alignment horizontal="left" inden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1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4" fontId="11" fillId="0" borderId="8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left" inden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/>
    <xf numFmtId="0" fontId="7" fillId="0" borderId="1" xfId="0" applyFont="1" applyBorder="1" applyAlignment="1"/>
    <xf numFmtId="0" fontId="4" fillId="0" borderId="1" xfId="0" applyFont="1" applyBorder="1" applyAlignment="1"/>
    <xf numFmtId="0" fontId="4" fillId="0" borderId="8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4" fillId="0" borderId="9" xfId="0" applyFont="1" applyBorder="1" applyAlignment="1"/>
    <xf numFmtId="0" fontId="4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152400</xdr:rowOff>
    </xdr:from>
    <xdr:to>
      <xdr:col>6</xdr:col>
      <xdr:colOff>552450</xdr:colOff>
      <xdr:row>4</xdr:row>
      <xdr:rowOff>28576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152400"/>
          <a:ext cx="838200" cy="78105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0</xdr:col>
      <xdr:colOff>914399</xdr:colOff>
      <xdr:row>4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857249" cy="1057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%20TARIF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UDIO MODIFICACION"/>
      <sheetName val="TARIFA CON_SIN IVA"/>
      <sheetName val="2019 TARIFAS CANINAS "/>
      <sheetName val="TARIFAS PUBLICO"/>
      <sheetName val="TARIFAS PUBLICO (17_9)"/>
    </sheetNames>
    <sheetDataSet>
      <sheetData sheetId="0">
        <row r="5">
          <cell r="F5">
            <v>30</v>
          </cell>
          <cell r="G5">
            <v>44.2</v>
          </cell>
        </row>
        <row r="6">
          <cell r="F6">
            <v>33.9</v>
          </cell>
          <cell r="G6">
            <v>49.9</v>
          </cell>
        </row>
        <row r="7">
          <cell r="F7">
            <v>17.400000000000002</v>
          </cell>
          <cell r="G7">
            <v>25.6</v>
          </cell>
        </row>
        <row r="8">
          <cell r="F8">
            <v>57.800000000000004</v>
          </cell>
        </row>
        <row r="9">
          <cell r="F9">
            <v>63.6</v>
          </cell>
        </row>
        <row r="10">
          <cell r="F10">
            <v>27</v>
          </cell>
          <cell r="G10">
            <v>37.200000000000003</v>
          </cell>
        </row>
        <row r="11">
          <cell r="F11">
            <v>30.700000000000003</v>
          </cell>
          <cell r="G11">
            <v>42.300000000000004</v>
          </cell>
        </row>
        <row r="12">
          <cell r="F12">
            <v>27</v>
          </cell>
          <cell r="G12">
            <v>37.200000000000003</v>
          </cell>
        </row>
        <row r="13">
          <cell r="F13">
            <v>30.700000000000003</v>
          </cell>
          <cell r="G13">
            <v>42.300000000000004</v>
          </cell>
        </row>
        <row r="14">
          <cell r="F14">
            <v>52.1</v>
          </cell>
        </row>
        <row r="15">
          <cell r="F15">
            <v>57.1</v>
          </cell>
        </row>
        <row r="16">
          <cell r="F16">
            <v>11.299999999999999</v>
          </cell>
          <cell r="G16">
            <v>13.7</v>
          </cell>
        </row>
        <row r="17">
          <cell r="F17">
            <v>16.900000000000002</v>
          </cell>
          <cell r="G17">
            <v>20.400000000000002</v>
          </cell>
        </row>
        <row r="19">
          <cell r="F19">
            <v>26.400000000000002</v>
          </cell>
          <cell r="G19">
            <v>38.9</v>
          </cell>
        </row>
        <row r="20">
          <cell r="F20">
            <v>56.1</v>
          </cell>
          <cell r="G20">
            <v>57.800000000000004</v>
          </cell>
        </row>
        <row r="21">
          <cell r="F21">
            <v>2.6</v>
          </cell>
          <cell r="G21">
            <v>4.1999999999999993</v>
          </cell>
        </row>
        <row r="23">
          <cell r="F23">
            <v>14.6</v>
          </cell>
          <cell r="G23">
            <v>17.600000000000001</v>
          </cell>
        </row>
        <row r="24">
          <cell r="F24">
            <v>14.6</v>
          </cell>
          <cell r="G24">
            <v>17.600000000000001</v>
          </cell>
        </row>
        <row r="25">
          <cell r="F25">
            <v>29.2</v>
          </cell>
          <cell r="G25">
            <v>35.200000000000003</v>
          </cell>
        </row>
        <row r="26">
          <cell r="F26">
            <v>43.8</v>
          </cell>
          <cell r="G26">
            <v>52.800000000000004</v>
          </cell>
        </row>
        <row r="27">
          <cell r="F27">
            <v>4.3999999999999995</v>
          </cell>
          <cell r="G27">
            <v>6</v>
          </cell>
        </row>
        <row r="28">
          <cell r="F28">
            <v>26.400000000000002</v>
          </cell>
          <cell r="G28">
            <v>38.9</v>
          </cell>
        </row>
        <row r="30">
          <cell r="F30">
            <v>39</v>
          </cell>
          <cell r="G30">
            <v>0</v>
          </cell>
        </row>
        <row r="31">
          <cell r="F31">
            <v>48.300000000000004</v>
          </cell>
          <cell r="G31">
            <v>0</v>
          </cell>
        </row>
        <row r="33">
          <cell r="F33">
            <v>52</v>
          </cell>
          <cell r="G33">
            <v>78</v>
          </cell>
        </row>
        <row r="34">
          <cell r="F34">
            <v>52</v>
          </cell>
          <cell r="G34">
            <v>78</v>
          </cell>
        </row>
        <row r="35">
          <cell r="F35">
            <v>78</v>
          </cell>
          <cell r="G35">
            <v>103.89999999999999</v>
          </cell>
        </row>
        <row r="36">
          <cell r="F36">
            <v>6.5</v>
          </cell>
          <cell r="G36">
            <v>10.5</v>
          </cell>
        </row>
        <row r="38">
          <cell r="F38">
            <v>106.19999999999999</v>
          </cell>
          <cell r="G38">
            <v>136.79999999999998</v>
          </cell>
        </row>
        <row r="39">
          <cell r="F39">
            <v>36.4</v>
          </cell>
          <cell r="G39">
            <v>46.800000000000004</v>
          </cell>
        </row>
        <row r="40">
          <cell r="F40">
            <v>4.6999999999999993</v>
          </cell>
          <cell r="G40">
            <v>5.3999999999999995</v>
          </cell>
        </row>
        <row r="42">
          <cell r="F42">
            <v>41</v>
          </cell>
          <cell r="G42">
            <v>0</v>
          </cell>
        </row>
        <row r="43">
          <cell r="F43">
            <v>5</v>
          </cell>
          <cell r="G43">
            <v>0</v>
          </cell>
        </row>
        <row r="45">
          <cell r="F45">
            <v>2</v>
          </cell>
          <cell r="G45">
            <v>0</v>
          </cell>
        </row>
        <row r="46">
          <cell r="F46">
            <v>10.799999999999999</v>
          </cell>
          <cell r="G46">
            <v>0</v>
          </cell>
        </row>
        <row r="48">
          <cell r="F48">
            <v>52.2</v>
          </cell>
          <cell r="G48">
            <v>55.800000000000004</v>
          </cell>
        </row>
        <row r="50">
          <cell r="F50">
            <v>16.100000000000001</v>
          </cell>
          <cell r="G50">
            <v>33.1</v>
          </cell>
        </row>
        <row r="51">
          <cell r="F51">
            <v>15.799999999999999</v>
          </cell>
          <cell r="G51">
            <v>32.5</v>
          </cell>
        </row>
        <row r="52">
          <cell r="F52">
            <v>73.5</v>
          </cell>
        </row>
        <row r="53">
          <cell r="F53">
            <v>136.4</v>
          </cell>
        </row>
        <row r="54">
          <cell r="F54">
            <v>6.5</v>
          </cell>
          <cell r="G54">
            <v>10</v>
          </cell>
        </row>
        <row r="55">
          <cell r="F55">
            <v>48</v>
          </cell>
          <cell r="G55">
            <v>66</v>
          </cell>
        </row>
        <row r="56">
          <cell r="F56">
            <v>5.3</v>
          </cell>
          <cell r="G56">
            <v>5.5</v>
          </cell>
        </row>
        <row r="57">
          <cell r="F57">
            <v>32.1</v>
          </cell>
          <cell r="G57">
            <v>55</v>
          </cell>
        </row>
        <row r="59">
          <cell r="F59">
            <v>16.100000000000001</v>
          </cell>
          <cell r="G59">
            <v>33.1</v>
          </cell>
        </row>
        <row r="60">
          <cell r="F60">
            <v>15.799999999999999</v>
          </cell>
          <cell r="G60">
            <v>32.5</v>
          </cell>
        </row>
        <row r="61">
          <cell r="F61">
            <v>73.5</v>
          </cell>
        </row>
        <row r="62">
          <cell r="F62">
            <v>39.6</v>
          </cell>
          <cell r="G62">
            <v>51</v>
          </cell>
        </row>
        <row r="63">
          <cell r="F63">
            <v>52</v>
          </cell>
          <cell r="G63">
            <v>53.7</v>
          </cell>
        </row>
        <row r="65">
          <cell r="F65">
            <v>39.6</v>
          </cell>
          <cell r="G65">
            <v>51</v>
          </cell>
        </row>
        <row r="66">
          <cell r="F66">
            <v>1.2000000000000002</v>
          </cell>
          <cell r="G66">
            <v>0</v>
          </cell>
        </row>
        <row r="67">
          <cell r="F67">
            <v>1.7000000000000002</v>
          </cell>
          <cell r="G67">
            <v>0</v>
          </cell>
        </row>
        <row r="68">
          <cell r="F68">
            <v>1.7000000000000002</v>
          </cell>
          <cell r="G68">
            <v>0</v>
          </cell>
        </row>
        <row r="69">
          <cell r="F69">
            <v>6.5</v>
          </cell>
          <cell r="G69">
            <v>10</v>
          </cell>
        </row>
        <row r="71">
          <cell r="F71">
            <v>39.6</v>
          </cell>
          <cell r="G71">
            <v>51</v>
          </cell>
        </row>
        <row r="72">
          <cell r="F72">
            <v>23.8</v>
          </cell>
          <cell r="G72">
            <v>30.400000000000002</v>
          </cell>
        </row>
        <row r="73">
          <cell r="F73">
            <v>15.9</v>
          </cell>
          <cell r="G73">
            <v>20.400000000000002</v>
          </cell>
        </row>
        <row r="74">
          <cell r="F74">
            <v>8</v>
          </cell>
          <cell r="G74">
            <v>10.299999999999999</v>
          </cell>
        </row>
        <row r="76">
          <cell r="F76">
            <v>39.6</v>
          </cell>
          <cell r="G76">
            <v>51</v>
          </cell>
        </row>
        <row r="77">
          <cell r="F77">
            <v>5.3</v>
          </cell>
          <cell r="G77">
            <v>5.5</v>
          </cell>
        </row>
        <row r="78">
          <cell r="F78">
            <v>5.3</v>
          </cell>
          <cell r="G78">
            <v>5.5</v>
          </cell>
        </row>
        <row r="79">
          <cell r="F79">
            <v>6.5</v>
          </cell>
          <cell r="G79">
            <v>10</v>
          </cell>
        </row>
        <row r="82">
          <cell r="F82">
            <v>295</v>
          </cell>
          <cell r="G82">
            <v>0</v>
          </cell>
        </row>
        <row r="83">
          <cell r="F83">
            <v>35</v>
          </cell>
          <cell r="G83">
            <v>0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A58" sqref="A58:E58"/>
    </sheetView>
  </sheetViews>
  <sheetFormatPr defaultColWidth="11.42578125" defaultRowHeight="15"/>
  <cols>
    <col min="1" max="1" width="15.7109375" customWidth="1"/>
    <col min="2" max="2" width="14.7109375" customWidth="1"/>
    <col min="3" max="3" width="9.85546875" customWidth="1"/>
    <col min="4" max="4" width="12.7109375" customWidth="1"/>
    <col min="5" max="5" width="27.140625" customWidth="1"/>
    <col min="6" max="6" width="9.42578125" customWidth="1"/>
    <col min="7" max="7" width="9.140625" customWidth="1"/>
  </cols>
  <sheetData>
    <row r="1" spans="1:7" ht="26.25">
      <c r="A1" s="36"/>
      <c r="B1" s="15" t="s">
        <v>0</v>
      </c>
      <c r="C1" s="16"/>
      <c r="D1" s="16"/>
      <c r="E1" s="16"/>
      <c r="F1" s="16"/>
      <c r="G1" s="36"/>
    </row>
    <row r="2" spans="1:7">
      <c r="A2" s="36"/>
      <c r="B2" s="17" t="s">
        <v>1</v>
      </c>
      <c r="C2" s="17"/>
      <c r="D2" s="17"/>
      <c r="E2" s="17"/>
      <c r="F2" s="17"/>
      <c r="G2" s="36"/>
    </row>
    <row r="3" spans="1:7">
      <c r="A3" s="36"/>
      <c r="B3" s="17" t="s">
        <v>2</v>
      </c>
      <c r="C3" s="17"/>
      <c r="D3" s="17"/>
      <c r="E3" s="17"/>
      <c r="F3" s="17"/>
      <c r="G3" s="36"/>
    </row>
    <row r="4" spans="1:7">
      <c r="A4" s="36"/>
      <c r="B4" s="18" t="s">
        <v>3</v>
      </c>
      <c r="C4" s="18"/>
      <c r="D4" s="18"/>
      <c r="E4" s="18"/>
      <c r="F4" s="18"/>
      <c r="G4" s="36"/>
    </row>
    <row r="5" spans="1:7">
      <c r="A5" s="36"/>
      <c r="B5" s="19" t="s">
        <v>4</v>
      </c>
      <c r="C5" s="20"/>
      <c r="D5" s="20"/>
      <c r="E5" s="20"/>
      <c r="F5" s="20"/>
      <c r="G5" s="36"/>
    </row>
    <row r="7" spans="1:7" ht="26.25">
      <c r="A7" s="7" t="s">
        <v>5</v>
      </c>
      <c r="B7" s="36"/>
      <c r="C7" s="36"/>
      <c r="D7" s="36"/>
      <c r="E7" s="36"/>
      <c r="F7" s="36"/>
      <c r="G7" s="36"/>
    </row>
    <row r="8" spans="1:7">
      <c r="A8" s="8" t="s">
        <v>6</v>
      </c>
      <c r="B8" s="36"/>
      <c r="C8" s="36"/>
      <c r="D8" s="36"/>
      <c r="E8" s="36"/>
      <c r="F8" s="36"/>
      <c r="G8" s="36"/>
    </row>
    <row r="9" spans="1:7" ht="6.95" customHeight="1">
      <c r="A9" s="1"/>
    </row>
    <row r="10" spans="1:7">
      <c r="A10" s="9" t="s">
        <v>7</v>
      </c>
      <c r="B10" s="10"/>
      <c r="C10" s="10"/>
      <c r="D10" s="10"/>
      <c r="E10" s="10"/>
      <c r="F10" s="10"/>
      <c r="G10" s="10"/>
    </row>
    <row r="11" spans="1:7" ht="15.75">
      <c r="A11" s="11" t="s">
        <v>8</v>
      </c>
      <c r="B11" s="12"/>
      <c r="C11" s="12"/>
      <c r="D11" s="12"/>
      <c r="E11" s="13" t="s">
        <v>9</v>
      </c>
      <c r="F11" s="13"/>
      <c r="G11" s="13"/>
    </row>
    <row r="12" spans="1:7">
      <c r="A12" s="37" t="s">
        <v>10</v>
      </c>
      <c r="B12" s="37"/>
      <c r="C12" s="37"/>
      <c r="D12" s="37"/>
      <c r="E12" s="14" t="s">
        <v>11</v>
      </c>
      <c r="F12" s="14"/>
      <c r="G12" s="14"/>
    </row>
    <row r="13" spans="1:7">
      <c r="A13" s="37" t="s">
        <v>12</v>
      </c>
      <c r="B13" s="37"/>
      <c r="C13" s="37"/>
      <c r="D13" s="37"/>
      <c r="E13" s="14" t="s">
        <v>13</v>
      </c>
      <c r="F13" s="14"/>
      <c r="G13" s="14"/>
    </row>
    <row r="14" spans="1:7">
      <c r="A14" s="37" t="s">
        <v>14</v>
      </c>
      <c r="B14" s="37"/>
      <c r="C14" s="37"/>
      <c r="D14" s="37"/>
      <c r="E14" s="14" t="s">
        <v>15</v>
      </c>
      <c r="F14" s="14"/>
      <c r="G14" s="14"/>
    </row>
    <row r="15" spans="1:7" ht="6.95" customHeight="1"/>
    <row r="16" spans="1:7" ht="38.25">
      <c r="A16" s="23" t="s">
        <v>16</v>
      </c>
      <c r="B16" s="23"/>
      <c r="C16" s="23"/>
      <c r="D16" s="23"/>
      <c r="E16" s="24"/>
      <c r="F16" s="2" t="s">
        <v>17</v>
      </c>
      <c r="G16" s="2" t="s">
        <v>18</v>
      </c>
    </row>
    <row r="17" spans="1:7">
      <c r="A17" s="25" t="s">
        <v>19</v>
      </c>
      <c r="B17" s="26"/>
      <c r="C17" s="26"/>
      <c r="D17" s="26"/>
      <c r="E17" s="26"/>
      <c r="F17" s="26"/>
      <c r="G17" s="27"/>
    </row>
    <row r="18" spans="1:7">
      <c r="A18" s="38" t="s">
        <v>20</v>
      </c>
      <c r="B18" s="38"/>
      <c r="C18" s="38"/>
      <c r="D18" s="38"/>
      <c r="E18" s="38"/>
      <c r="F18" s="3">
        <f>'[1]ESTUDIO MODIFICACION'!F5</f>
        <v>30</v>
      </c>
      <c r="G18" s="3">
        <f>'[1]ESTUDIO MODIFICACION'!G5</f>
        <v>44.2</v>
      </c>
    </row>
    <row r="19" spans="1:7">
      <c r="A19" s="38" t="s">
        <v>21</v>
      </c>
      <c r="B19" s="38"/>
      <c r="C19" s="38"/>
      <c r="D19" s="38"/>
      <c r="E19" s="38"/>
      <c r="F19" s="3">
        <f>'[1]ESTUDIO MODIFICACION'!F6</f>
        <v>33.9</v>
      </c>
      <c r="G19" s="3">
        <f>'[1]ESTUDIO MODIFICACION'!G6</f>
        <v>49.9</v>
      </c>
    </row>
    <row r="20" spans="1:7">
      <c r="A20" s="38" t="s">
        <v>22</v>
      </c>
      <c r="B20" s="38"/>
      <c r="C20" s="38"/>
      <c r="D20" s="38"/>
      <c r="E20" s="38"/>
      <c r="F20" s="3">
        <f>'[1]ESTUDIO MODIFICACION'!F7</f>
        <v>17.400000000000002</v>
      </c>
      <c r="G20" s="3">
        <f>'[1]ESTUDIO MODIFICACION'!G7</f>
        <v>25.6</v>
      </c>
    </row>
    <row r="21" spans="1:7">
      <c r="A21" s="38" t="s">
        <v>23</v>
      </c>
      <c r="B21" s="38"/>
      <c r="C21" s="38"/>
      <c r="D21" s="38"/>
      <c r="E21" s="38"/>
      <c r="F21" s="21">
        <f>'[1]ESTUDIO MODIFICACION'!F8</f>
        <v>57.800000000000004</v>
      </c>
      <c r="G21" s="22"/>
    </row>
    <row r="22" spans="1:7">
      <c r="A22" s="38" t="s">
        <v>24</v>
      </c>
      <c r="B22" s="38"/>
      <c r="C22" s="38"/>
      <c r="D22" s="38"/>
      <c r="E22" s="38"/>
      <c r="F22" s="21">
        <f>'[1]ESTUDIO MODIFICACION'!F9</f>
        <v>63.6</v>
      </c>
      <c r="G22" s="22"/>
    </row>
    <row r="23" spans="1:7">
      <c r="A23" s="38" t="s">
        <v>25</v>
      </c>
      <c r="B23" s="38"/>
      <c r="C23" s="38"/>
      <c r="D23" s="38"/>
      <c r="E23" s="38"/>
      <c r="F23" s="3">
        <f>'[1]ESTUDIO MODIFICACION'!F10</f>
        <v>27</v>
      </c>
      <c r="G23" s="3">
        <f>'[1]ESTUDIO MODIFICACION'!G10</f>
        <v>37.200000000000003</v>
      </c>
    </row>
    <row r="24" spans="1:7">
      <c r="A24" s="39" t="s">
        <v>26</v>
      </c>
      <c r="B24" s="40"/>
      <c r="C24" s="40"/>
      <c r="D24" s="40"/>
      <c r="E24" s="41"/>
      <c r="F24" s="3">
        <f>'[1]ESTUDIO MODIFICACION'!F11</f>
        <v>30.700000000000003</v>
      </c>
      <c r="G24" s="3">
        <f>'[1]ESTUDIO MODIFICACION'!G11</f>
        <v>42.300000000000004</v>
      </c>
    </row>
    <row r="25" spans="1:7">
      <c r="A25" s="38" t="s">
        <v>27</v>
      </c>
      <c r="B25" s="42"/>
      <c r="C25" s="42"/>
      <c r="D25" s="42"/>
      <c r="E25" s="42"/>
      <c r="F25" s="3">
        <f>'[1]ESTUDIO MODIFICACION'!F12</f>
        <v>27</v>
      </c>
      <c r="G25" s="3">
        <f>'[1]ESTUDIO MODIFICACION'!G12</f>
        <v>37.200000000000003</v>
      </c>
    </row>
    <row r="26" spans="1:7">
      <c r="A26" s="38" t="s">
        <v>28</v>
      </c>
      <c r="B26" s="42"/>
      <c r="C26" s="42"/>
      <c r="D26" s="42"/>
      <c r="E26" s="42"/>
      <c r="F26" s="3">
        <f>'[1]ESTUDIO MODIFICACION'!F13</f>
        <v>30.700000000000003</v>
      </c>
      <c r="G26" s="3">
        <f>'[1]ESTUDIO MODIFICACION'!G13</f>
        <v>42.300000000000004</v>
      </c>
    </row>
    <row r="27" spans="1:7">
      <c r="A27" s="38" t="s">
        <v>29</v>
      </c>
      <c r="B27" s="42"/>
      <c r="C27" s="42"/>
      <c r="D27" s="42"/>
      <c r="E27" s="42"/>
      <c r="F27" s="21">
        <f>'[1]ESTUDIO MODIFICACION'!F14</f>
        <v>52.1</v>
      </c>
      <c r="G27" s="22"/>
    </row>
    <row r="28" spans="1:7">
      <c r="A28" s="38" t="s">
        <v>30</v>
      </c>
      <c r="B28" s="42"/>
      <c r="C28" s="42"/>
      <c r="D28" s="42"/>
      <c r="E28" s="42"/>
      <c r="F28" s="21">
        <f>'[1]ESTUDIO MODIFICACION'!F15</f>
        <v>57.1</v>
      </c>
      <c r="G28" s="22"/>
    </row>
    <row r="29" spans="1:7">
      <c r="A29" s="38" t="s">
        <v>31</v>
      </c>
      <c r="B29" s="42"/>
      <c r="C29" s="42"/>
      <c r="D29" s="42"/>
      <c r="E29" s="42"/>
      <c r="F29" s="3">
        <f>'[1]ESTUDIO MODIFICACION'!F16</f>
        <v>11.299999999999999</v>
      </c>
      <c r="G29" s="3">
        <f>'[1]ESTUDIO MODIFICACION'!G16</f>
        <v>13.7</v>
      </c>
    </row>
    <row r="30" spans="1:7">
      <c r="A30" s="38" t="s">
        <v>32</v>
      </c>
      <c r="B30" s="42"/>
      <c r="C30" s="42"/>
      <c r="D30" s="42"/>
      <c r="E30" s="42"/>
      <c r="F30" s="3">
        <f>'[1]ESTUDIO MODIFICACION'!F17</f>
        <v>16.900000000000002</v>
      </c>
      <c r="G30" s="3">
        <f>'[1]ESTUDIO MODIFICACION'!G17</f>
        <v>20.400000000000002</v>
      </c>
    </row>
    <row r="31" spans="1:7">
      <c r="A31" s="28" t="s">
        <v>33</v>
      </c>
      <c r="B31" s="29"/>
      <c r="C31" s="29"/>
      <c r="D31" s="29"/>
      <c r="E31" s="29"/>
      <c r="F31" s="29"/>
      <c r="G31" s="30"/>
    </row>
    <row r="32" spans="1:7">
      <c r="A32" s="38" t="s">
        <v>34</v>
      </c>
      <c r="B32" s="38"/>
      <c r="C32" s="38"/>
      <c r="D32" s="38"/>
      <c r="E32" s="38"/>
      <c r="F32" s="3">
        <f>'[1]ESTUDIO MODIFICACION'!F19</f>
        <v>26.400000000000002</v>
      </c>
      <c r="G32" s="3">
        <f>'[1]ESTUDIO MODIFICACION'!G19</f>
        <v>38.9</v>
      </c>
    </row>
    <row r="33" spans="1:7">
      <c r="A33" s="38" t="s">
        <v>35</v>
      </c>
      <c r="B33" s="38"/>
      <c r="C33" s="38"/>
      <c r="D33" s="38"/>
      <c r="E33" s="38"/>
      <c r="F33" s="3">
        <f>'[1]ESTUDIO MODIFICACION'!F20</f>
        <v>56.1</v>
      </c>
      <c r="G33" s="3">
        <f>'[1]ESTUDIO MODIFICACION'!G20</f>
        <v>57.800000000000004</v>
      </c>
    </row>
    <row r="34" spans="1:7">
      <c r="A34" s="38" t="s">
        <v>36</v>
      </c>
      <c r="B34" s="38"/>
      <c r="C34" s="38"/>
      <c r="D34" s="38"/>
      <c r="E34" s="38"/>
      <c r="F34" s="3">
        <f>'[1]ESTUDIO MODIFICACION'!F21</f>
        <v>2.6</v>
      </c>
      <c r="G34" s="3">
        <f>'[1]ESTUDIO MODIFICACION'!G21</f>
        <v>4.1999999999999993</v>
      </c>
    </row>
    <row r="35" spans="1:7">
      <c r="A35" s="38" t="s">
        <v>37</v>
      </c>
      <c r="B35" s="38"/>
      <c r="C35" s="38"/>
      <c r="D35" s="38"/>
      <c r="E35" s="38"/>
      <c r="F35" s="3">
        <f>'[1]ESTUDIO MODIFICACION'!F23</f>
        <v>14.6</v>
      </c>
      <c r="G35" s="3">
        <f>'[1]ESTUDIO MODIFICACION'!G23</f>
        <v>17.600000000000001</v>
      </c>
    </row>
    <row r="36" spans="1:7">
      <c r="A36" s="33" t="s">
        <v>38</v>
      </c>
      <c r="B36" s="33"/>
      <c r="C36" s="33"/>
      <c r="D36" s="33"/>
      <c r="E36" s="33"/>
      <c r="F36" s="3">
        <f>'[1]ESTUDIO MODIFICACION'!F24</f>
        <v>14.6</v>
      </c>
      <c r="G36" s="3">
        <f>'[1]ESTUDIO MODIFICACION'!G24</f>
        <v>17.600000000000001</v>
      </c>
    </row>
    <row r="37" spans="1:7">
      <c r="A37" s="33" t="s">
        <v>39</v>
      </c>
      <c r="B37" s="33"/>
      <c r="C37" s="33"/>
      <c r="D37" s="33"/>
      <c r="E37" s="33"/>
      <c r="F37" s="3">
        <f>'[1]ESTUDIO MODIFICACION'!F25</f>
        <v>29.2</v>
      </c>
      <c r="G37" s="3">
        <f>'[1]ESTUDIO MODIFICACION'!G25</f>
        <v>35.200000000000003</v>
      </c>
    </row>
    <row r="38" spans="1:7">
      <c r="A38" s="33" t="s">
        <v>40</v>
      </c>
      <c r="B38" s="33"/>
      <c r="C38" s="33"/>
      <c r="D38" s="33"/>
      <c r="E38" s="33"/>
      <c r="F38" s="3">
        <f>'[1]ESTUDIO MODIFICACION'!F26</f>
        <v>43.8</v>
      </c>
      <c r="G38" s="3">
        <f>'[1]ESTUDIO MODIFICACION'!G26</f>
        <v>52.800000000000004</v>
      </c>
    </row>
    <row r="39" spans="1:7">
      <c r="A39" s="38" t="s">
        <v>41</v>
      </c>
      <c r="B39" s="38"/>
      <c r="C39" s="38"/>
      <c r="D39" s="38"/>
      <c r="E39" s="38"/>
      <c r="F39" s="3">
        <f>'[1]ESTUDIO MODIFICACION'!F27</f>
        <v>4.3999999999999995</v>
      </c>
      <c r="G39" s="3">
        <f>'[1]ESTUDIO MODIFICACION'!G27</f>
        <v>6</v>
      </c>
    </row>
    <row r="40" spans="1:7">
      <c r="A40" s="38" t="s">
        <v>42</v>
      </c>
      <c r="B40" s="38"/>
      <c r="C40" s="38"/>
      <c r="D40" s="38"/>
      <c r="E40" s="38"/>
      <c r="F40" s="3">
        <f>'[1]ESTUDIO MODIFICACION'!F28</f>
        <v>26.400000000000002</v>
      </c>
      <c r="G40" s="3">
        <f>'[1]ESTUDIO MODIFICACION'!G28</f>
        <v>38.9</v>
      </c>
    </row>
    <row r="41" spans="1:7">
      <c r="A41" s="28" t="s">
        <v>43</v>
      </c>
      <c r="B41" s="29"/>
      <c r="C41" s="29"/>
      <c r="D41" s="29"/>
      <c r="E41" s="29"/>
      <c r="F41" s="29"/>
      <c r="G41" s="30"/>
    </row>
    <row r="42" spans="1:7">
      <c r="A42" s="38" t="s">
        <v>44</v>
      </c>
      <c r="B42" s="38"/>
      <c r="C42" s="38"/>
      <c r="D42" s="38"/>
      <c r="E42" s="38"/>
      <c r="F42" s="31">
        <f>'[1]ESTUDIO MODIFICACION'!F30:G30</f>
        <v>39</v>
      </c>
      <c r="G42" s="32"/>
    </row>
    <row r="43" spans="1:7">
      <c r="A43" s="38" t="s">
        <v>45</v>
      </c>
      <c r="B43" s="38"/>
      <c r="C43" s="38"/>
      <c r="D43" s="38"/>
      <c r="E43" s="38"/>
      <c r="F43" s="31">
        <f>'[1]ESTUDIO MODIFICACION'!F31:G31</f>
        <v>48.300000000000004</v>
      </c>
      <c r="G43" s="32"/>
    </row>
    <row r="44" spans="1:7">
      <c r="A44" s="28" t="s">
        <v>46</v>
      </c>
      <c r="B44" s="29"/>
      <c r="C44" s="29"/>
      <c r="D44" s="29"/>
      <c r="E44" s="29"/>
      <c r="F44" s="29"/>
      <c r="G44" s="30"/>
    </row>
    <row r="45" spans="1:7">
      <c r="A45" s="38" t="s">
        <v>47</v>
      </c>
      <c r="B45" s="38"/>
      <c r="C45" s="38"/>
      <c r="D45" s="38"/>
      <c r="E45" s="38"/>
      <c r="F45" s="3">
        <f>'[1]ESTUDIO MODIFICACION'!F33</f>
        <v>52</v>
      </c>
      <c r="G45" s="3">
        <f>'[1]ESTUDIO MODIFICACION'!G33</f>
        <v>78</v>
      </c>
    </row>
    <row r="46" spans="1:7">
      <c r="A46" s="38" t="s">
        <v>48</v>
      </c>
      <c r="B46" s="38"/>
      <c r="C46" s="38"/>
      <c r="D46" s="38"/>
      <c r="E46" s="38"/>
      <c r="F46" s="3">
        <f>'[1]ESTUDIO MODIFICACION'!F34</f>
        <v>52</v>
      </c>
      <c r="G46" s="3">
        <f>'[1]ESTUDIO MODIFICACION'!G34</f>
        <v>78</v>
      </c>
    </row>
    <row r="47" spans="1:7">
      <c r="A47" s="38" t="s">
        <v>49</v>
      </c>
      <c r="B47" s="38"/>
      <c r="C47" s="38"/>
      <c r="D47" s="38"/>
      <c r="E47" s="38"/>
      <c r="F47" s="3">
        <f>'[1]ESTUDIO MODIFICACION'!F35</f>
        <v>78</v>
      </c>
      <c r="G47" s="3">
        <f>'[1]ESTUDIO MODIFICACION'!G35</f>
        <v>103.89999999999999</v>
      </c>
    </row>
    <row r="48" spans="1:7">
      <c r="A48" s="38" t="s">
        <v>50</v>
      </c>
      <c r="B48" s="38"/>
      <c r="C48" s="38"/>
      <c r="D48" s="38"/>
      <c r="E48" s="38"/>
      <c r="F48" s="3">
        <f>'[1]ESTUDIO MODIFICACION'!F36</f>
        <v>6.5</v>
      </c>
      <c r="G48" s="3">
        <f>'[1]ESTUDIO MODIFICACION'!G36</f>
        <v>10.5</v>
      </c>
    </row>
    <row r="49" spans="1:7">
      <c r="A49" s="28" t="s">
        <v>51</v>
      </c>
      <c r="B49" s="29"/>
      <c r="C49" s="29"/>
      <c r="D49" s="29"/>
      <c r="E49" s="29"/>
      <c r="F49" s="29"/>
      <c r="G49" s="30"/>
    </row>
    <row r="50" spans="1:7">
      <c r="A50" s="38" t="s">
        <v>52</v>
      </c>
      <c r="B50" s="38"/>
      <c r="C50" s="38"/>
      <c r="D50" s="38"/>
      <c r="E50" s="38"/>
      <c r="F50" s="3">
        <f>'[1]ESTUDIO MODIFICACION'!F38</f>
        <v>106.19999999999999</v>
      </c>
      <c r="G50" s="3">
        <f>'[1]ESTUDIO MODIFICACION'!G38</f>
        <v>136.79999999999998</v>
      </c>
    </row>
    <row r="51" spans="1:7">
      <c r="A51" s="38" t="s">
        <v>53</v>
      </c>
      <c r="B51" s="38"/>
      <c r="C51" s="38"/>
      <c r="D51" s="38"/>
      <c r="E51" s="38"/>
      <c r="F51" s="3">
        <f>'[1]ESTUDIO MODIFICACION'!F39</f>
        <v>36.4</v>
      </c>
      <c r="G51" s="3">
        <f>'[1]ESTUDIO MODIFICACION'!G39</f>
        <v>46.800000000000004</v>
      </c>
    </row>
    <row r="52" spans="1:7">
      <c r="A52" s="38" t="s">
        <v>54</v>
      </c>
      <c r="B52" s="38"/>
      <c r="C52" s="38"/>
      <c r="D52" s="38"/>
      <c r="E52" s="38"/>
      <c r="F52" s="3">
        <f>'[1]ESTUDIO MODIFICACION'!F40</f>
        <v>4.6999999999999993</v>
      </c>
      <c r="G52" s="3">
        <f>'[1]ESTUDIO MODIFICACION'!G40</f>
        <v>5.3999999999999995</v>
      </c>
    </row>
    <row r="53" spans="1:7">
      <c r="A53" s="25" t="s">
        <v>55</v>
      </c>
      <c r="B53" s="26"/>
      <c r="C53" s="26"/>
      <c r="D53" s="26"/>
      <c r="E53" s="26"/>
      <c r="F53" s="26"/>
      <c r="G53" s="27"/>
    </row>
    <row r="54" spans="1:7">
      <c r="A54" s="38" t="s">
        <v>56</v>
      </c>
      <c r="B54" s="38"/>
      <c r="C54" s="38"/>
      <c r="D54" s="38"/>
      <c r="E54" s="38"/>
      <c r="F54" s="31">
        <f>'[1]ESTUDIO MODIFICACION'!F42:G42</f>
        <v>41</v>
      </c>
      <c r="G54" s="32"/>
    </row>
    <row r="55" spans="1:7">
      <c r="A55" s="38" t="s">
        <v>57</v>
      </c>
      <c r="B55" s="38"/>
      <c r="C55" s="38"/>
      <c r="D55" s="38"/>
      <c r="E55" s="38"/>
      <c r="F55" s="31">
        <f>'[1]ESTUDIO MODIFICACION'!F43:G43</f>
        <v>5</v>
      </c>
      <c r="G55" s="32"/>
    </row>
    <row r="56" spans="1:7" ht="6.95" customHeight="1">
      <c r="A56" s="4"/>
      <c r="B56" s="4"/>
      <c r="C56" s="4"/>
      <c r="D56" s="4"/>
      <c r="E56" s="4"/>
      <c r="F56" s="4"/>
      <c r="G56" s="4"/>
    </row>
    <row r="57" spans="1:7">
      <c r="A57" s="18" t="s">
        <v>58</v>
      </c>
      <c r="B57" s="18"/>
      <c r="C57" s="18"/>
      <c r="D57" s="18"/>
      <c r="E57" s="18"/>
      <c r="F57" s="18"/>
      <c r="G57" s="18"/>
    </row>
    <row r="58" spans="1:7" ht="38.25">
      <c r="A58" s="23" t="s">
        <v>16</v>
      </c>
      <c r="B58" s="23"/>
      <c r="C58" s="23"/>
      <c r="D58" s="23"/>
      <c r="E58" s="24"/>
      <c r="F58" s="2" t="s">
        <v>17</v>
      </c>
      <c r="G58" s="2" t="s">
        <v>18</v>
      </c>
    </row>
    <row r="59" spans="1:7">
      <c r="A59" s="25" t="s">
        <v>59</v>
      </c>
      <c r="B59" s="26"/>
      <c r="C59" s="26"/>
      <c r="D59" s="26"/>
      <c r="E59" s="26"/>
      <c r="F59" s="26"/>
      <c r="G59" s="27"/>
    </row>
    <row r="60" spans="1:7">
      <c r="A60" s="38" t="s">
        <v>60</v>
      </c>
      <c r="B60" s="38"/>
      <c r="C60" s="38"/>
      <c r="D60" s="38"/>
      <c r="E60" s="38"/>
      <c r="F60" s="31">
        <f>'[1]ESTUDIO MODIFICACION'!F45:G45</f>
        <v>2</v>
      </c>
      <c r="G60" s="32"/>
    </row>
    <row r="61" spans="1:7">
      <c r="A61" s="38" t="s">
        <v>61</v>
      </c>
      <c r="B61" s="38"/>
      <c r="C61" s="38"/>
      <c r="D61" s="38"/>
      <c r="E61" s="38"/>
      <c r="F61" s="31">
        <f>'[1]ESTUDIO MODIFICACION'!F46:G46</f>
        <v>10.799999999999999</v>
      </c>
      <c r="G61" s="32"/>
    </row>
    <row r="62" spans="1:7">
      <c r="A62" s="25" t="s">
        <v>62</v>
      </c>
      <c r="B62" s="26"/>
      <c r="C62" s="26"/>
      <c r="D62" s="26"/>
      <c r="E62" s="26"/>
      <c r="F62" s="26"/>
      <c r="G62" s="27"/>
    </row>
    <row r="63" spans="1:7">
      <c r="A63" s="39" t="s">
        <v>63</v>
      </c>
      <c r="B63" s="40"/>
      <c r="C63" s="40"/>
      <c r="D63" s="40"/>
      <c r="E63" s="41"/>
      <c r="F63" s="3">
        <f>'[1]ESTUDIO MODIFICACION'!F48</f>
        <v>52.2</v>
      </c>
      <c r="G63" s="3">
        <f>'[1]ESTUDIO MODIFICACION'!G48</f>
        <v>55.800000000000004</v>
      </c>
    </row>
    <row r="64" spans="1:7">
      <c r="A64" s="39" t="s">
        <v>64</v>
      </c>
      <c r="B64" s="40"/>
      <c r="C64" s="40"/>
      <c r="D64" s="40"/>
      <c r="E64" s="41"/>
      <c r="F64" s="6">
        <v>46.8</v>
      </c>
      <c r="G64" s="5">
        <v>50</v>
      </c>
    </row>
    <row r="65" spans="1:7">
      <c r="A65" s="39" t="s">
        <v>65</v>
      </c>
      <c r="B65" s="40"/>
      <c r="C65" s="40"/>
      <c r="D65" s="40"/>
      <c r="E65" s="41"/>
      <c r="F65" s="6">
        <v>46.8</v>
      </c>
      <c r="G65" s="5">
        <v>50</v>
      </c>
    </row>
    <row r="66" spans="1:7">
      <c r="A66" s="39" t="s">
        <v>66</v>
      </c>
      <c r="B66" s="40"/>
      <c r="C66" s="40"/>
      <c r="D66" s="40"/>
      <c r="E66" s="41"/>
      <c r="F66" s="6">
        <v>23.4</v>
      </c>
      <c r="G66" s="5">
        <v>25</v>
      </c>
    </row>
    <row r="67" spans="1:7">
      <c r="A67" s="39" t="s">
        <v>67</v>
      </c>
      <c r="B67" s="40"/>
      <c r="C67" s="40"/>
      <c r="D67" s="40"/>
      <c r="E67" s="41"/>
      <c r="F67" s="3">
        <v>23.4</v>
      </c>
      <c r="G67" s="5">
        <v>25</v>
      </c>
    </row>
    <row r="68" spans="1:7">
      <c r="A68" s="25" t="s">
        <v>68</v>
      </c>
      <c r="B68" s="26"/>
      <c r="C68" s="26"/>
      <c r="D68" s="26"/>
      <c r="E68" s="26"/>
      <c r="F68" s="26"/>
      <c r="G68" s="27"/>
    </row>
    <row r="69" spans="1:7">
      <c r="A69" s="38" t="s">
        <v>69</v>
      </c>
      <c r="B69" s="42"/>
      <c r="C69" s="42"/>
      <c r="D69" s="42"/>
      <c r="E69" s="42"/>
      <c r="F69" s="3">
        <f>'[1]ESTUDIO MODIFICACION'!F50</f>
        <v>16.100000000000001</v>
      </c>
      <c r="G69" s="3">
        <f>'[1]ESTUDIO MODIFICACION'!G50</f>
        <v>33.1</v>
      </c>
    </row>
    <row r="70" spans="1:7">
      <c r="A70" s="38" t="s">
        <v>70</v>
      </c>
      <c r="B70" s="42"/>
      <c r="C70" s="42"/>
      <c r="D70" s="42"/>
      <c r="E70" s="42"/>
      <c r="F70" s="3">
        <f>'[1]ESTUDIO MODIFICACION'!F51</f>
        <v>15.799999999999999</v>
      </c>
      <c r="G70" s="3">
        <f>'[1]ESTUDIO MODIFICACION'!G51</f>
        <v>32.5</v>
      </c>
    </row>
    <row r="71" spans="1:7">
      <c r="A71" s="38" t="s">
        <v>71</v>
      </c>
      <c r="B71" s="42"/>
      <c r="C71" s="42"/>
      <c r="D71" s="42"/>
      <c r="E71" s="42"/>
      <c r="F71" s="31">
        <f>'[1]ESTUDIO MODIFICACION'!F52</f>
        <v>73.5</v>
      </c>
      <c r="G71" s="32"/>
    </row>
    <row r="72" spans="1:7">
      <c r="A72" s="38" t="s">
        <v>72</v>
      </c>
      <c r="B72" s="42"/>
      <c r="C72" s="42"/>
      <c r="D72" s="42"/>
      <c r="E72" s="42"/>
      <c r="F72" s="31">
        <f>'[1]ESTUDIO MODIFICACION'!F53</f>
        <v>136.4</v>
      </c>
      <c r="G72" s="32"/>
    </row>
    <row r="73" spans="1:7">
      <c r="A73" s="39" t="s">
        <v>73</v>
      </c>
      <c r="B73" s="40"/>
      <c r="C73" s="40"/>
      <c r="D73" s="40"/>
      <c r="E73" s="41"/>
      <c r="F73" s="3">
        <f>'[1]ESTUDIO MODIFICACION'!F54</f>
        <v>6.5</v>
      </c>
      <c r="G73" s="3">
        <f>'[1]ESTUDIO MODIFICACION'!G54</f>
        <v>10</v>
      </c>
    </row>
    <row r="74" spans="1:7">
      <c r="A74" s="39" t="s">
        <v>74</v>
      </c>
      <c r="B74" s="40"/>
      <c r="C74" s="40"/>
      <c r="D74" s="40"/>
      <c r="E74" s="41"/>
      <c r="F74" s="3">
        <f>'[1]ESTUDIO MODIFICACION'!F55</f>
        <v>48</v>
      </c>
      <c r="G74" s="3">
        <f>'[1]ESTUDIO MODIFICACION'!G55</f>
        <v>66</v>
      </c>
    </row>
    <row r="75" spans="1:7">
      <c r="A75" s="39" t="s">
        <v>75</v>
      </c>
      <c r="B75" s="40"/>
      <c r="C75" s="40"/>
      <c r="D75" s="40"/>
      <c r="E75" s="41"/>
      <c r="F75" s="3">
        <f>'[1]ESTUDIO MODIFICACION'!F56</f>
        <v>5.3</v>
      </c>
      <c r="G75" s="3">
        <f>'[1]ESTUDIO MODIFICACION'!G56</f>
        <v>5.5</v>
      </c>
    </row>
    <row r="76" spans="1:7">
      <c r="A76" s="38" t="s">
        <v>76</v>
      </c>
      <c r="B76" s="42"/>
      <c r="C76" s="42"/>
      <c r="D76" s="42"/>
      <c r="E76" s="42"/>
      <c r="F76" s="3">
        <f>'[1]ESTUDIO MODIFICACION'!F57</f>
        <v>32.1</v>
      </c>
      <c r="G76" s="3">
        <f>'[1]ESTUDIO MODIFICACION'!G57</f>
        <v>55</v>
      </c>
    </row>
    <row r="77" spans="1:7">
      <c r="A77" s="28" t="s">
        <v>77</v>
      </c>
      <c r="B77" s="29"/>
      <c r="C77" s="29"/>
      <c r="D77" s="29"/>
      <c r="E77" s="29"/>
      <c r="F77" s="29"/>
      <c r="G77" s="30"/>
    </row>
    <row r="78" spans="1:7">
      <c r="A78" s="38" t="s">
        <v>78</v>
      </c>
      <c r="B78" s="38"/>
      <c r="C78" s="38"/>
      <c r="D78" s="38"/>
      <c r="E78" s="38"/>
      <c r="F78" s="3">
        <f>'[1]ESTUDIO MODIFICACION'!F59</f>
        <v>16.100000000000001</v>
      </c>
      <c r="G78" s="3">
        <f>'[1]ESTUDIO MODIFICACION'!G59</f>
        <v>33.1</v>
      </c>
    </row>
    <row r="79" spans="1:7">
      <c r="A79" s="38" t="s">
        <v>70</v>
      </c>
      <c r="B79" s="38"/>
      <c r="C79" s="38"/>
      <c r="D79" s="38"/>
      <c r="E79" s="38"/>
      <c r="F79" s="3">
        <f>'[1]ESTUDIO MODIFICACION'!F60</f>
        <v>15.799999999999999</v>
      </c>
      <c r="G79" s="3">
        <f>'[1]ESTUDIO MODIFICACION'!G60</f>
        <v>32.5</v>
      </c>
    </row>
    <row r="80" spans="1:7">
      <c r="A80" s="38" t="s">
        <v>79</v>
      </c>
      <c r="B80" s="38"/>
      <c r="C80" s="38"/>
      <c r="D80" s="38"/>
      <c r="E80" s="38"/>
      <c r="F80" s="31">
        <f>'[1]ESTUDIO MODIFICACION'!F61</f>
        <v>73.5</v>
      </c>
      <c r="G80" s="32"/>
    </row>
    <row r="81" spans="1:7">
      <c r="A81" s="38" t="s">
        <v>80</v>
      </c>
      <c r="B81" s="38"/>
      <c r="C81" s="38"/>
      <c r="D81" s="38"/>
      <c r="E81" s="38"/>
      <c r="F81" s="3">
        <f>'[1]ESTUDIO MODIFICACION'!F62</f>
        <v>39.6</v>
      </c>
      <c r="G81" s="3">
        <f>'[1]ESTUDIO MODIFICACION'!G62</f>
        <v>51</v>
      </c>
    </row>
    <row r="82" spans="1:7">
      <c r="A82" s="38" t="s">
        <v>81</v>
      </c>
      <c r="B82" s="38"/>
      <c r="C82" s="38"/>
      <c r="D82" s="38"/>
      <c r="E82" s="38"/>
      <c r="F82" s="3">
        <f>'[1]ESTUDIO MODIFICACION'!F63</f>
        <v>52</v>
      </c>
      <c r="G82" s="3">
        <f>'[1]ESTUDIO MODIFICACION'!G63</f>
        <v>53.7</v>
      </c>
    </row>
    <row r="83" spans="1:7">
      <c r="A83" s="28" t="s">
        <v>82</v>
      </c>
      <c r="B83" s="29"/>
      <c r="C83" s="29"/>
      <c r="D83" s="29"/>
      <c r="E83" s="29"/>
      <c r="F83" s="29"/>
      <c r="G83" s="30"/>
    </row>
    <row r="84" spans="1:7">
      <c r="A84" s="38" t="s">
        <v>83</v>
      </c>
      <c r="B84" s="42"/>
      <c r="C84" s="42"/>
      <c r="D84" s="42"/>
      <c r="E84" s="42"/>
      <c r="F84" s="3">
        <f>'[1]ESTUDIO MODIFICACION'!F65</f>
        <v>39.6</v>
      </c>
      <c r="G84" s="3">
        <f>'[1]ESTUDIO MODIFICACION'!G65</f>
        <v>51</v>
      </c>
    </row>
    <row r="85" spans="1:7">
      <c r="A85" s="38" t="s">
        <v>84</v>
      </c>
      <c r="B85" s="42"/>
      <c r="C85" s="42"/>
      <c r="D85" s="42"/>
      <c r="E85" s="42"/>
      <c r="F85" s="21">
        <f>'[1]ESTUDIO MODIFICACION'!F66:G66</f>
        <v>1.2000000000000002</v>
      </c>
      <c r="G85" s="22"/>
    </row>
    <row r="86" spans="1:7">
      <c r="A86" s="39" t="s">
        <v>85</v>
      </c>
      <c r="B86" s="43"/>
      <c r="C86" s="43"/>
      <c r="D86" s="43"/>
      <c r="E86" s="44"/>
      <c r="F86" s="21">
        <f>'[1]ESTUDIO MODIFICACION'!F67:G67</f>
        <v>1.7000000000000002</v>
      </c>
      <c r="G86" s="22"/>
    </row>
    <row r="87" spans="1:7">
      <c r="A87" s="39" t="s">
        <v>86</v>
      </c>
      <c r="B87" s="43"/>
      <c r="C87" s="43"/>
      <c r="D87" s="43"/>
      <c r="E87" s="44"/>
      <c r="F87" s="21">
        <f>'[1]ESTUDIO MODIFICACION'!F68:G68</f>
        <v>1.7000000000000002</v>
      </c>
      <c r="G87" s="22"/>
    </row>
    <row r="88" spans="1:7">
      <c r="A88" s="38" t="s">
        <v>87</v>
      </c>
      <c r="B88" s="42"/>
      <c r="C88" s="42"/>
      <c r="D88" s="42"/>
      <c r="E88" s="42"/>
      <c r="F88" s="3">
        <f>'[1]ESTUDIO MODIFICACION'!F69</f>
        <v>6.5</v>
      </c>
      <c r="G88" s="3">
        <f>'[1]ESTUDIO MODIFICACION'!G69</f>
        <v>10</v>
      </c>
    </row>
    <row r="89" spans="1:7">
      <c r="A89" s="28" t="s">
        <v>88</v>
      </c>
      <c r="B89" s="29"/>
      <c r="C89" s="29"/>
      <c r="D89" s="29"/>
      <c r="E89" s="29"/>
      <c r="F89" s="29"/>
      <c r="G89" s="30"/>
    </row>
    <row r="90" spans="1:7">
      <c r="A90" s="38" t="s">
        <v>89</v>
      </c>
      <c r="B90" s="38"/>
      <c r="C90" s="38"/>
      <c r="D90" s="38"/>
      <c r="E90" s="38"/>
      <c r="F90" s="3">
        <f>'[1]ESTUDIO MODIFICACION'!F71</f>
        <v>39.6</v>
      </c>
      <c r="G90" s="3">
        <f>'[1]ESTUDIO MODIFICACION'!G71</f>
        <v>51</v>
      </c>
    </row>
    <row r="91" spans="1:7">
      <c r="A91" s="38" t="s">
        <v>90</v>
      </c>
      <c r="B91" s="38"/>
      <c r="C91" s="38"/>
      <c r="D91" s="38"/>
      <c r="E91" s="38"/>
      <c r="F91" s="3">
        <f>'[1]ESTUDIO MODIFICACION'!F72</f>
        <v>23.8</v>
      </c>
      <c r="G91" s="3">
        <f>'[1]ESTUDIO MODIFICACION'!G72</f>
        <v>30.400000000000002</v>
      </c>
    </row>
    <row r="92" spans="1:7">
      <c r="A92" s="38" t="s">
        <v>91</v>
      </c>
      <c r="B92" s="38"/>
      <c r="C92" s="38"/>
      <c r="D92" s="38"/>
      <c r="E92" s="38"/>
      <c r="F92" s="3">
        <f>'[1]ESTUDIO MODIFICACION'!F73</f>
        <v>15.9</v>
      </c>
      <c r="G92" s="3">
        <f>'[1]ESTUDIO MODIFICACION'!G73</f>
        <v>20.400000000000002</v>
      </c>
    </row>
    <row r="93" spans="1:7">
      <c r="A93" s="38" t="s">
        <v>92</v>
      </c>
      <c r="B93" s="38"/>
      <c r="C93" s="38"/>
      <c r="D93" s="38"/>
      <c r="E93" s="38"/>
      <c r="F93" s="3">
        <f>'[1]ESTUDIO MODIFICACION'!F74</f>
        <v>8</v>
      </c>
      <c r="G93" s="3">
        <f>'[1]ESTUDIO MODIFICACION'!G74</f>
        <v>10.299999999999999</v>
      </c>
    </row>
    <row r="94" spans="1:7">
      <c r="A94" s="28" t="s">
        <v>93</v>
      </c>
      <c r="B94" s="29"/>
      <c r="C94" s="29"/>
      <c r="D94" s="29"/>
      <c r="E94" s="29"/>
      <c r="F94" s="29"/>
      <c r="G94" s="30"/>
    </row>
    <row r="95" spans="1:7">
      <c r="A95" s="38" t="s">
        <v>94</v>
      </c>
      <c r="B95" s="38"/>
      <c r="C95" s="38"/>
      <c r="D95" s="38"/>
      <c r="E95" s="38"/>
      <c r="F95" s="3">
        <f>'[1]ESTUDIO MODIFICACION'!F76</f>
        <v>39.6</v>
      </c>
      <c r="G95" s="3">
        <f>'[1]ESTUDIO MODIFICACION'!G76</f>
        <v>51</v>
      </c>
    </row>
    <row r="96" spans="1:7">
      <c r="A96" s="38" t="s">
        <v>95</v>
      </c>
      <c r="B96" s="38"/>
      <c r="C96" s="38"/>
      <c r="D96" s="38"/>
      <c r="E96" s="38"/>
      <c r="F96" s="3">
        <f>'[1]ESTUDIO MODIFICACION'!F77</f>
        <v>5.3</v>
      </c>
      <c r="G96" s="3">
        <f>'[1]ESTUDIO MODIFICACION'!G77</f>
        <v>5.5</v>
      </c>
    </row>
    <row r="97" spans="1:7">
      <c r="A97" s="38" t="s">
        <v>96</v>
      </c>
      <c r="B97" s="38"/>
      <c r="C97" s="38"/>
      <c r="D97" s="38"/>
      <c r="E97" s="38"/>
      <c r="F97" s="3">
        <f>'[1]ESTUDIO MODIFICACION'!F78</f>
        <v>5.3</v>
      </c>
      <c r="G97" s="3">
        <f>'[1]ESTUDIO MODIFICACION'!G78</f>
        <v>5.5</v>
      </c>
    </row>
    <row r="98" spans="1:7">
      <c r="A98" s="38" t="s">
        <v>97</v>
      </c>
      <c r="B98" s="38"/>
      <c r="C98" s="38"/>
      <c r="D98" s="38"/>
      <c r="E98" s="38"/>
      <c r="F98" s="3">
        <f>'[1]ESTUDIO MODIFICACION'!F79</f>
        <v>6.5</v>
      </c>
      <c r="G98" s="3">
        <f>'[1]ESTUDIO MODIFICACION'!G79</f>
        <v>10</v>
      </c>
    </row>
    <row r="99" spans="1:7">
      <c r="A99" s="28" t="s">
        <v>98</v>
      </c>
      <c r="B99" s="29"/>
      <c r="C99" s="29"/>
      <c r="D99" s="29"/>
      <c r="E99" s="29"/>
      <c r="F99" s="29"/>
      <c r="G99" s="30"/>
    </row>
    <row r="100" spans="1:7">
      <c r="A100" s="38" t="s">
        <v>99</v>
      </c>
      <c r="B100" s="38"/>
      <c r="C100" s="38"/>
      <c r="D100" s="38"/>
      <c r="E100" s="38"/>
      <c r="F100" s="31">
        <f>'[1]ESTUDIO MODIFICACION'!F82:G82</f>
        <v>295</v>
      </c>
      <c r="G100" s="32"/>
    </row>
    <row r="101" spans="1:7">
      <c r="A101" s="38" t="s">
        <v>100</v>
      </c>
      <c r="B101" s="38"/>
      <c r="C101" s="38"/>
      <c r="D101" s="38"/>
      <c r="E101" s="38"/>
      <c r="F101" s="31">
        <f>'[1]ESTUDIO MODIFICACION'!F83:G83</f>
        <v>35</v>
      </c>
      <c r="G101" s="32"/>
    </row>
    <row r="102" spans="1:7">
      <c r="A102" s="4" t="s">
        <v>101</v>
      </c>
      <c r="B102" s="4"/>
      <c r="C102" s="4"/>
      <c r="D102" s="4"/>
      <c r="E102" s="4"/>
      <c r="F102" s="4"/>
      <c r="G102" s="4"/>
    </row>
    <row r="103" spans="1:7">
      <c r="A103" s="4" t="s">
        <v>102</v>
      </c>
      <c r="B103" s="4"/>
      <c r="C103" s="4"/>
      <c r="D103" s="4"/>
      <c r="E103" s="4"/>
      <c r="F103" s="4"/>
      <c r="G103" s="4"/>
    </row>
    <row r="104" spans="1:7">
      <c r="A104" s="34" t="s">
        <v>103</v>
      </c>
      <c r="B104" s="35"/>
      <c r="C104" s="35"/>
      <c r="D104" s="35"/>
      <c r="E104" s="35"/>
      <c r="F104" s="35"/>
      <c r="G104" s="35"/>
    </row>
  </sheetData>
  <mergeCells count="122">
    <mergeCell ref="A100:E100"/>
    <mergeCell ref="F100:G100"/>
    <mergeCell ref="A101:E101"/>
    <mergeCell ref="F101:G101"/>
    <mergeCell ref="A104:G104"/>
    <mergeCell ref="A64:E64"/>
    <mergeCell ref="A65:E65"/>
    <mergeCell ref="A66:E66"/>
    <mergeCell ref="A67:E67"/>
    <mergeCell ref="A94:G94"/>
    <mergeCell ref="A95:E95"/>
    <mergeCell ref="A96:E96"/>
    <mergeCell ref="A97:E97"/>
    <mergeCell ref="A98:E98"/>
    <mergeCell ref="A99:G99"/>
    <mergeCell ref="A88:E88"/>
    <mergeCell ref="A89:G89"/>
    <mergeCell ref="A90:E90"/>
    <mergeCell ref="A91:E91"/>
    <mergeCell ref="A92:E92"/>
    <mergeCell ref="A93:E93"/>
    <mergeCell ref="A85:E85"/>
    <mergeCell ref="F85:G85"/>
    <mergeCell ref="A86:E86"/>
    <mergeCell ref="F86:G86"/>
    <mergeCell ref="A87:E87"/>
    <mergeCell ref="F87:G87"/>
    <mergeCell ref="A80:E80"/>
    <mergeCell ref="F80:G80"/>
    <mergeCell ref="A81:E81"/>
    <mergeCell ref="A82:E82"/>
    <mergeCell ref="A83:G83"/>
    <mergeCell ref="A84:E84"/>
    <mergeCell ref="A74:E74"/>
    <mergeCell ref="A75:E75"/>
    <mergeCell ref="A76:E76"/>
    <mergeCell ref="A77:G77"/>
    <mergeCell ref="A78:E78"/>
    <mergeCell ref="A79:E79"/>
    <mergeCell ref="A70:E70"/>
    <mergeCell ref="A71:E71"/>
    <mergeCell ref="F71:G71"/>
    <mergeCell ref="A72:E72"/>
    <mergeCell ref="F72:G72"/>
    <mergeCell ref="A73:E73"/>
    <mergeCell ref="A61:E61"/>
    <mergeCell ref="F61:G61"/>
    <mergeCell ref="A62:G62"/>
    <mergeCell ref="A63:E63"/>
    <mergeCell ref="A68:G68"/>
    <mergeCell ref="A69:E69"/>
    <mergeCell ref="A55:E55"/>
    <mergeCell ref="F55:G55"/>
    <mergeCell ref="A57:G57"/>
    <mergeCell ref="A58:E58"/>
    <mergeCell ref="A59:G59"/>
    <mergeCell ref="A60:E60"/>
    <mergeCell ref="F60:G60"/>
    <mergeCell ref="A50:E50"/>
    <mergeCell ref="A51:E51"/>
    <mergeCell ref="A52:E52"/>
    <mergeCell ref="A53:G53"/>
    <mergeCell ref="A54:E54"/>
    <mergeCell ref="F54:G54"/>
    <mergeCell ref="A44:G44"/>
    <mergeCell ref="A45:E45"/>
    <mergeCell ref="A46:E46"/>
    <mergeCell ref="A47:E47"/>
    <mergeCell ref="A48:E48"/>
    <mergeCell ref="A49:G49"/>
    <mergeCell ref="A39:E39"/>
    <mergeCell ref="A40:E40"/>
    <mergeCell ref="A41:G41"/>
    <mergeCell ref="A42:E42"/>
    <mergeCell ref="F42:G42"/>
    <mergeCell ref="A43:E43"/>
    <mergeCell ref="F43:G43"/>
    <mergeCell ref="A33:E33"/>
    <mergeCell ref="A34:E34"/>
    <mergeCell ref="A35:E35"/>
    <mergeCell ref="A36:E36"/>
    <mergeCell ref="A37:E37"/>
    <mergeCell ref="A38:E38"/>
    <mergeCell ref="A28:E28"/>
    <mergeCell ref="F28:G28"/>
    <mergeCell ref="A29:E29"/>
    <mergeCell ref="A30:E30"/>
    <mergeCell ref="A31:G31"/>
    <mergeCell ref="A32:E32"/>
    <mergeCell ref="A23:E23"/>
    <mergeCell ref="A24:E24"/>
    <mergeCell ref="A25:E25"/>
    <mergeCell ref="A26:E26"/>
    <mergeCell ref="A27:E27"/>
    <mergeCell ref="F27:G27"/>
    <mergeCell ref="A18:E18"/>
    <mergeCell ref="A19:E19"/>
    <mergeCell ref="A20:E20"/>
    <mergeCell ref="A21:E21"/>
    <mergeCell ref="F21:G21"/>
    <mergeCell ref="A22:E22"/>
    <mergeCell ref="F22:G22"/>
    <mergeCell ref="A13:D13"/>
    <mergeCell ref="E13:G13"/>
    <mergeCell ref="A14:D14"/>
    <mergeCell ref="E14:G14"/>
    <mergeCell ref="A16:E16"/>
    <mergeCell ref="A17:G17"/>
    <mergeCell ref="A7:G7"/>
    <mergeCell ref="A8:G8"/>
    <mergeCell ref="A10:G10"/>
    <mergeCell ref="A11:D11"/>
    <mergeCell ref="E11:G11"/>
    <mergeCell ref="A12:D12"/>
    <mergeCell ref="E12:G12"/>
    <mergeCell ref="A1:A5"/>
    <mergeCell ref="B1:F1"/>
    <mergeCell ref="G1:G5"/>
    <mergeCell ref="B2:F2"/>
    <mergeCell ref="B3:F3"/>
    <mergeCell ref="B4:F4"/>
    <mergeCell ref="B5:F5"/>
  </mergeCells>
  <pageMargins left="0.23622047244094491" right="0.23622047244094491" top="0.35433070866141736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Francisco Moreno Gallegos</cp:lastModifiedBy>
  <cp:revision/>
  <dcterms:created xsi:type="dcterms:W3CDTF">2019-10-18T10:22:33Z</dcterms:created>
  <dcterms:modified xsi:type="dcterms:W3CDTF">2026-05-07T14:24:52Z</dcterms:modified>
  <cp:category/>
  <cp:contentStatus/>
</cp:coreProperties>
</file>