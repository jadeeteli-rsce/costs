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+ GESTION\01 ADMINITRACION\ASUNTOS ECONOMICOS\TARIFAS\"/>
    </mc:Choice>
  </mc:AlternateContent>
  <bookViews>
    <workbookView xWindow="120" yWindow="75" windowWidth="11595" windowHeight="9750"/>
  </bookViews>
  <sheets>
    <sheet name="2018 TARIFAS CANINAS " sheetId="1" r:id="rId1"/>
  </sheets>
  <definedNames>
    <definedName name="_xlnm.Print_Area" localSheetId="0">'2018 TARIFAS CANINAS '!$A$1:$J$84</definedName>
  </definedNames>
  <calcPr calcId="162913"/>
</workbook>
</file>

<file path=xl/calcChain.xml><?xml version="1.0" encoding="utf-8"?>
<calcChain xmlns="http://schemas.openxmlformats.org/spreadsheetml/2006/main">
  <c r="J6" i="1" l="1"/>
  <c r="J58" i="1"/>
  <c r="J16" i="1" l="1"/>
  <c r="J15" i="1"/>
  <c r="J14" i="1"/>
  <c r="J35" i="1"/>
  <c r="J13" i="1"/>
  <c r="J62" i="1"/>
  <c r="J61" i="1"/>
  <c r="J60" i="1"/>
  <c r="J59" i="1"/>
  <c r="J56" i="1"/>
  <c r="J55" i="1"/>
  <c r="J54" i="1"/>
  <c r="J40" i="1"/>
  <c r="J38" i="1"/>
  <c r="J36" i="1"/>
  <c r="J33" i="1"/>
  <c r="J32" i="1"/>
  <c r="J31" i="1"/>
  <c r="J29" i="1"/>
  <c r="J28" i="1"/>
  <c r="J27" i="1"/>
  <c r="J26" i="1"/>
  <c r="J25" i="1"/>
  <c r="J24" i="1"/>
  <c r="J23" i="1"/>
  <c r="J22" i="1"/>
  <c r="J21" i="1"/>
  <c r="J20" i="1"/>
  <c r="J18" i="1"/>
  <c r="J17" i="1"/>
  <c r="J12" i="1"/>
  <c r="J11" i="1"/>
  <c r="J10" i="1"/>
  <c r="J9" i="1"/>
  <c r="J8" i="1"/>
  <c r="J7" i="1"/>
  <c r="J63" i="1" l="1"/>
  <c r="J64" i="1" l="1"/>
  <c r="J66" i="1" s="1"/>
  <c r="J72" i="1" s="1"/>
</calcChain>
</file>

<file path=xl/sharedStrings.xml><?xml version="1.0" encoding="utf-8"?>
<sst xmlns="http://schemas.openxmlformats.org/spreadsheetml/2006/main" count="112" uniqueCount="112">
  <si>
    <t>PEDIGREES Y TRANSFERENCIA DE PROPIEDAD</t>
  </si>
  <si>
    <t>PEDIGREE PARA PERROS INSCRITOS EN EL R.R.C. (SIN GENEALOGIA COMPLETA)</t>
  </si>
  <si>
    <t>PEDIGREE DE EXPORTACION (3 generaciones)</t>
  </si>
  <si>
    <t>PEDIGREE DE EXPORTACION (4 generaciones)</t>
  </si>
  <si>
    <t>TRANSFERENCIA DE PROPIEDAD EN PEDIGREE, REGISTRO INICIAL O PERRO IMPORTADO</t>
  </si>
  <si>
    <t>CESION TEMPORAL DE PROPIEDAD DE  LOS REPRODUCTORES</t>
  </si>
  <si>
    <t>INCRIPCIONES EN EL L.O.E./R.R.C.</t>
  </si>
  <si>
    <t>FORMULARIO IDENTIFICACION (por cachorro al notificar nacimiento) RSCE</t>
  </si>
  <si>
    <t>FORMULARIO IDENTIFICACION (por cachorro al notificar nacimiento) EN ORIGEN</t>
  </si>
  <si>
    <t>INSCRIPCION CACHORRO</t>
  </si>
  <si>
    <t xml:space="preserve">     RECARGO 100% (más de 6 meses y menos de 9) Art. 6.)13 Reglamento L.O.E.</t>
  </si>
  <si>
    <t xml:space="preserve">     RECARGO 200% (más de 9 meses, menos de 12) Art. 6.)13 Reglamento L.O.E.</t>
  </si>
  <si>
    <t>DUPLICADO JUSTIFICANTE DE INSCRIPCION</t>
  </si>
  <si>
    <t>BAJA DE UN PERRO EN EL L.O.E./R.R.C.</t>
  </si>
  <si>
    <t>AFIJOS</t>
  </si>
  <si>
    <t>SOLICITUD DE AFIJO</t>
  </si>
  <si>
    <t>RECTIFICACION DE AFIJO</t>
  </si>
  <si>
    <t>DUPLICADO DE AFIJO</t>
  </si>
  <si>
    <t>REGISTROS INICIALES Y CONFIRMACIONES DE RAZA</t>
  </si>
  <si>
    <t>CONFIRMACION DE RAZA (PERROS RAZAS ESPAÑOLAS)</t>
  </si>
  <si>
    <t>IMPRESOS</t>
  </si>
  <si>
    <t>IMPRESO ALTA DE CAMADA</t>
  </si>
  <si>
    <t>TRABAJO R.C.I. / OBEDICENCIA</t>
  </si>
  <si>
    <t>LICENCIA DEPORTIVA INICIAL</t>
  </si>
  <si>
    <t>RENOVACION ANUAL LICENCIA DEPORTIVA</t>
  </si>
  <si>
    <t>CUOTA ANUAL GRUPO DE TRABAJO R.C.I. / OBEDIENCIA</t>
  </si>
  <si>
    <t>CUOTA ANUAL CONJUNTA GRUPO DE TRABAJO R.C.I. / OBEDIENCIA</t>
  </si>
  <si>
    <t xml:space="preserve">CERTIFICADO DE TRABAJO </t>
  </si>
  <si>
    <t>CARTILLA DE TRABAJO R.C.I.</t>
  </si>
  <si>
    <t>AGILITY</t>
  </si>
  <si>
    <t>LICENCIA NUEVA INDIVIDUAL DE AGILITY</t>
  </si>
  <si>
    <t>RENOVACION LICENCIA INDIVIDUAL DE AGILITY</t>
  </si>
  <si>
    <t>CARTILLAS DE AGILITY</t>
  </si>
  <si>
    <t>CUOTA ANUAL CLUB AGILITY</t>
  </si>
  <si>
    <t>IMPRESO PARA PRUEBAS  DE C.A.C.T. - C.A.C.I.T.</t>
  </si>
  <si>
    <t>IMPRESO DIPLOMA DE INICIACION (Original y 3 copias)</t>
  </si>
  <si>
    <t>IMPRESO PRUEBAS APTITUDES NATURALES (Original y 3 copias)</t>
  </si>
  <si>
    <t>VARIOS</t>
  </si>
  <si>
    <t>CONCEPTO</t>
  </si>
  <si>
    <t>URGENCIA</t>
  </si>
  <si>
    <t>CANTIDAD</t>
  </si>
  <si>
    <t>PRECIO</t>
  </si>
  <si>
    <t>IMPORTE</t>
  </si>
  <si>
    <t>SUMA … … … … … … …</t>
  </si>
  <si>
    <t>FACTURAS PENDIENTES NUMEROS</t>
  </si>
  <si>
    <t>ABONOS PENDIENTES NUMEROS</t>
  </si>
  <si>
    <t>INSCRIPCION IMPORTADOS</t>
  </si>
  <si>
    <r>
      <t xml:space="preserve">PEDIGREE </t>
    </r>
    <r>
      <rPr>
        <b/>
        <sz val="8.5"/>
        <rFont val="Arial"/>
        <family val="2"/>
      </rPr>
      <t>CON</t>
    </r>
    <r>
      <rPr>
        <sz val="8.5"/>
        <rFont val="Arial"/>
        <family val="2"/>
      </rPr>
      <t xml:space="preserve"> TRANSFERENCIA TRES GENERACIONES</t>
    </r>
  </si>
  <si>
    <r>
      <t xml:space="preserve">PEDIGREE </t>
    </r>
    <r>
      <rPr>
        <b/>
        <sz val="8.5"/>
        <rFont val="Arial"/>
        <family val="2"/>
      </rPr>
      <t>CON</t>
    </r>
    <r>
      <rPr>
        <sz val="8.5"/>
        <rFont val="Arial"/>
        <family val="2"/>
      </rPr>
      <t xml:space="preserve"> TRANSFERENCIA CUATRO GENERACIONES  (SI CONSTAN EN EL L.O.E.)</t>
    </r>
  </si>
  <si>
    <r>
      <t xml:space="preserve">PEDIGREE </t>
    </r>
    <r>
      <rPr>
        <b/>
        <sz val="8.5"/>
        <rFont val="Arial"/>
        <family val="2"/>
      </rPr>
      <t>SIN</t>
    </r>
    <r>
      <rPr>
        <sz val="8.5"/>
        <rFont val="Arial"/>
        <family val="2"/>
      </rPr>
      <t xml:space="preserve"> TRANSFERENCIA</t>
    </r>
  </si>
  <si>
    <r>
      <t xml:space="preserve">PEDIGREE </t>
    </r>
    <r>
      <rPr>
        <b/>
        <sz val="8.5"/>
        <rFont val="Arial"/>
        <family val="2"/>
      </rPr>
      <t>SIN</t>
    </r>
    <r>
      <rPr>
        <sz val="8.5"/>
        <rFont val="Arial"/>
        <family val="2"/>
      </rPr>
      <t xml:space="preserve"> TRANSFERENCIA CUATRO GENERACIONES  (SI CONSTAN EN EL L.O.E.)</t>
    </r>
  </si>
  <si>
    <r>
      <t xml:space="preserve">     </t>
    </r>
    <r>
      <rPr>
        <b/>
        <sz val="8.5"/>
        <rFont val="Arial"/>
        <family val="2"/>
      </rPr>
      <t>EXCEPCION</t>
    </r>
    <r>
      <rPr>
        <sz val="8.5"/>
        <rFont val="Arial"/>
        <family val="2"/>
      </rPr>
      <t>, RECARGO 300% (más de 12 meses y menos de 18)  Art, 5.k) Reglamento L.O.E.</t>
    </r>
  </si>
  <si>
    <t xml:space="preserve">SOCIEDAD CANINA </t>
  </si>
  <si>
    <t>FECHA</t>
  </si>
  <si>
    <t>CÓDIGO</t>
  </si>
  <si>
    <t>I.V.A. … …</t>
  </si>
  <si>
    <t>REGISTRO INICIAL DE RAZA</t>
  </si>
  <si>
    <t>+</t>
  </si>
  <si>
    <t>-</t>
  </si>
  <si>
    <t>=</t>
  </si>
  <si>
    <t>TOTAL REMESA</t>
  </si>
  <si>
    <t>INSCRIPCION DE OTROS LIBROS GENEALOGICOS (NO ADMITE PLUS DE URGENCIA)</t>
  </si>
  <si>
    <t>MUESTRA, RASTRO Y MADRIGUERA</t>
  </si>
  <si>
    <t>DUPLICADO DE PEDIGREE TRES GENERACIONES</t>
  </si>
  <si>
    <t>DUPLICADO DE PEDIGREE CUATRO GENERACIONES</t>
  </si>
  <si>
    <t>DUPLICADO EXPORT PEDIGREE TRES GENERACIONES</t>
  </si>
  <si>
    <t>DUPLICADO EXPORT PEDIGREE CUATRO GENERACIONES</t>
  </si>
  <si>
    <t>Real Sociedad Canina de España</t>
  </si>
  <si>
    <t xml:space="preserve">Calle Lagasca, 16 - Bajo derecha </t>
  </si>
  <si>
    <t>28001 MADRID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</si>
  <si>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</si>
  <si>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</si>
  <si>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</si>
  <si>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</si>
  <si>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</si>
  <si>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</si>
  <si>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</si>
  <si>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</si>
  <si>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</si>
  <si>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</si>
  <si>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</si>
  <si>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</si>
  <si>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</si>
  <si>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</si>
  <si>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</si>
  <si>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</si>
  <si>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</si>
  <si>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</si>
  <si>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</si>
  <si>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</si>
  <si>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</si>
  <si>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</si>
  <si>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</si>
  <si>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0401</t>
  </si>
  <si>
    <t>0402</t>
  </si>
  <si>
    <t>0403</t>
  </si>
  <si>
    <t>0501</t>
  </si>
  <si>
    <t>0502</t>
  </si>
  <si>
    <t>0601</t>
  </si>
  <si>
    <t>0701</t>
  </si>
  <si>
    <t>1002</t>
  </si>
  <si>
    <t>1003</t>
  </si>
  <si>
    <t>1004</t>
  </si>
  <si>
    <t>POR PERRO INSCRITO EN CADA PRUEBA CON CAC / CACT</t>
  </si>
  <si>
    <t>TOTAL AUTOLIQUIDACION</t>
  </si>
  <si>
    <t>v2018.0</t>
  </si>
  <si>
    <t>Por el total de esta autoliquidación acompañamos:</t>
  </si>
  <si>
    <t xml:space="preserve">Cheque núm. </t>
  </si>
  <si>
    <t>del Banco / Caja</t>
  </si>
  <si>
    <t>Copia del justificante de la transferencia enviada</t>
  </si>
  <si>
    <t>0709</t>
  </si>
  <si>
    <r>
      <t>PLUS TRAMITACION URGENTE. (</t>
    </r>
    <r>
      <rPr>
        <u/>
        <sz val="8.5"/>
        <rFont val="Arial"/>
        <family val="2"/>
      </rPr>
      <t>solo aplicable a</t>
    </r>
    <r>
      <rPr>
        <sz val="8.5"/>
        <rFont val="Arial"/>
        <family val="2"/>
      </rPr>
      <t xml:space="preserve"> CAMADAS, PEDIGREES Y PEDIGREES DE EXPORTACION)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</si>
</sst>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#,##0.00;\-###,##0.00;;@"/>
    <numFmt numFmtId="165" formatCode="##,##0;\-##,##0;;@"/>
  </numFmts>
  <fonts count="16" x14ac:knownFonts="1">
    <font>
      <sz val="10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b/>
      <sz val="8.5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Baskerville Old Face"/>
      <family val="1"/>
    </font>
    <font>
      <b/>
      <sz val="22"/>
      <name val="Baskerville Old Face"/>
      <family val="1"/>
    </font>
    <font>
      <sz val="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0.249977111117893"/>
        <bgColor indexed="64"/>
      </patternFill>
    </fill>
  </fills>
  <borders count="44">
    <border>
      <left/>
      <right/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theme="0" tint="-0.34998626667073579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theme="0" tint="-0.34998626667073579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theme="0" tint="-0.34998626667073579"/>
      </right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theme="0" tint="-0.34998626667073579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theme="0" tint="-0.34998626667073579"/>
      </right>
      <top/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0" borderId="0" xfId="0" applyAlignment="1">
      <alignment vertical="center"/>
    </xf>
    <xf numFmtId="4" fontId="3" fillId="0" borderId="1" xfId="0" applyNumberFormat="1" applyFont="1" applyBorder="1" applyAlignment="1">
      <alignment vertical="center"/>
    </xf>
    <xf numFmtId="4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 indent="1"/>
    </xf>
    <xf numFmtId="4" fontId="3" fillId="0" borderId="2" xfId="0" applyNumberFormat="1" applyFont="1" applyBorder="1" applyAlignment="1">
      <alignment vertical="center"/>
    </xf>
    <xf numFmtId="4" fontId="4" fillId="0" borderId="2" xfId="0" applyNumberFormat="1" applyFont="1" applyFill="1" applyBorder="1" applyAlignment="1">
      <alignment vertical="center"/>
    </xf>
    <xf numFmtId="4" fontId="4" fillId="0" borderId="1" xfId="0" applyNumberFormat="1" applyFont="1" applyFill="1" applyBorder="1" applyAlignment="1">
      <alignment vertical="center"/>
    </xf>
    <xf numFmtId="4" fontId="3" fillId="0" borderId="5" xfId="0" applyNumberFormat="1" applyFont="1" applyBorder="1" applyAlignment="1">
      <alignment vertical="center"/>
    </xf>
    <xf numFmtId="0" fontId="0" fillId="0" borderId="0" xfId="0" applyBorder="1"/>
    <xf numFmtId="0" fontId="0" fillId="0" borderId="0" xfId="0" applyAlignment="1">
      <alignment horizontal="right"/>
    </xf>
    <xf numFmtId="4" fontId="0" fillId="0" borderId="0" xfId="0" applyNumberFormat="1"/>
    <xf numFmtId="2" fontId="0" fillId="0" borderId="0" xfId="0" applyNumberFormat="1" applyAlignment="1">
      <alignment vertical="center"/>
    </xf>
    <xf numFmtId="0" fontId="2" fillId="0" borderId="8" xfId="0" applyFont="1" applyBorder="1" applyAlignment="1">
      <alignment horizontal="left" vertical="center" indent="1"/>
    </xf>
    <xf numFmtId="0" fontId="2" fillId="0" borderId="9" xfId="0" applyFont="1" applyBorder="1" applyAlignment="1">
      <alignment horizontal="left" vertical="center" indent="1"/>
    </xf>
    <xf numFmtId="0" fontId="0" fillId="0" borderId="0" xfId="0" applyBorder="1" applyAlignment="1"/>
    <xf numFmtId="0" fontId="0" fillId="0" borderId="0" xfId="0" applyAlignment="1"/>
    <xf numFmtId="0" fontId="4" fillId="2" borderId="13" xfId="0" applyFont="1" applyFill="1" applyBorder="1" applyAlignment="1">
      <alignment horizontal="center" vertical="center" wrapText="1"/>
    </xf>
    <xf numFmtId="0" fontId="0" fillId="0" borderId="0" xfId="0" applyAlignment="1"/>
    <xf numFmtId="0" fontId="7" fillId="0" borderId="0" xfId="0" applyFont="1" applyAlignment="1">
      <alignment horizontal="right" indent="1"/>
    </xf>
    <xf numFmtId="4" fontId="0" fillId="0" borderId="10" xfId="0" applyNumberFormat="1" applyFill="1" applyBorder="1" applyAlignment="1">
      <alignment vertical="center"/>
    </xf>
    <xf numFmtId="0" fontId="5" fillId="0" borderId="0" xfId="0" applyFont="1" applyAlignment="1">
      <alignment horizontal="right"/>
    </xf>
    <xf numFmtId="0" fontId="5" fillId="0" borderId="0" xfId="0" applyFont="1" applyBorder="1" applyAlignment="1">
      <alignment horizontal="right"/>
    </xf>
    <xf numFmtId="0" fontId="5" fillId="0" borderId="0" xfId="0" applyFont="1" applyBorder="1" applyAlignment="1"/>
    <xf numFmtId="10" fontId="12" fillId="0" borderId="0" xfId="0" applyNumberFormat="1" applyFont="1" applyBorder="1" applyAlignment="1"/>
    <xf numFmtId="0" fontId="0" fillId="0" borderId="0" xfId="0" applyBorder="1" applyAlignment="1">
      <alignment horizontal="right"/>
    </xf>
    <xf numFmtId="0" fontId="0" fillId="0" borderId="10" xfId="0" applyBorder="1" applyAlignment="1"/>
    <xf numFmtId="0" fontId="4" fillId="2" borderId="10" xfId="0" applyFont="1" applyFill="1" applyBorder="1" applyAlignment="1">
      <alignment horizontal="center" vertical="center" wrapText="1"/>
    </xf>
    <xf numFmtId="4" fontId="2" fillId="0" borderId="10" xfId="0" applyNumberFormat="1" applyFont="1" applyBorder="1" applyAlignment="1">
      <alignment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8" xfId="0" applyBorder="1"/>
    <xf numFmtId="164" fontId="5" fillId="0" borderId="20" xfId="0" applyNumberFormat="1" applyFont="1" applyFill="1" applyBorder="1" applyAlignment="1" applyProtection="1">
      <alignment horizontal="right" vertical="center" indent="1"/>
    </xf>
    <xf numFmtId="164" fontId="5" fillId="0" borderId="23" xfId="0" applyNumberFormat="1" applyFont="1" applyFill="1" applyBorder="1" applyAlignment="1">
      <alignment horizontal="right" vertical="center" indent="1"/>
    </xf>
    <xf numFmtId="164" fontId="5" fillId="0" borderId="17" xfId="0" applyNumberFormat="1" applyFont="1" applyFill="1" applyBorder="1" applyAlignment="1">
      <alignment horizontal="right" vertical="center" indent="1"/>
    </xf>
    <xf numFmtId="164" fontId="5" fillId="0" borderId="0" xfId="0" applyNumberFormat="1" applyFont="1" applyFill="1" applyBorder="1" applyAlignment="1">
      <alignment horizontal="right" vertical="center" indent="1"/>
    </xf>
    <xf numFmtId="164" fontId="5" fillId="0" borderId="15" xfId="0" applyNumberFormat="1" applyFont="1" applyFill="1" applyBorder="1" applyAlignment="1">
      <alignment horizontal="right" vertical="center" indent="1"/>
    </xf>
    <xf numFmtId="164" fontId="0" fillId="0" borderId="0" xfId="0" applyNumberFormat="1" applyFill="1" applyBorder="1"/>
    <xf numFmtId="164" fontId="5" fillId="0" borderId="15" xfId="0" applyNumberFormat="1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 applyAlignment="1">
      <alignment horizontal="right" indent="1"/>
    </xf>
    <xf numFmtId="0" fontId="2" fillId="0" borderId="0" xfId="0" applyFont="1" applyAlignment="1">
      <alignment horizontal="right"/>
    </xf>
    <xf numFmtId="0" fontId="2" fillId="0" borderId="0" xfId="0" applyFont="1" applyAlignment="1"/>
    <xf numFmtId="0" fontId="2" fillId="0" borderId="0" xfId="0" applyFont="1" applyBorder="1" applyAlignment="1"/>
    <xf numFmtId="0" fontId="0" fillId="0" borderId="0" xfId="0" applyFont="1" applyAlignment="1">
      <alignment horizontal="right" indent="1"/>
    </xf>
    <xf numFmtId="165" fontId="11" fillId="0" borderId="19" xfId="0" applyNumberFormat="1" applyFont="1" applyBorder="1" applyAlignment="1" applyProtection="1">
      <alignment horizontal="right" vertical="center" indent="1"/>
      <protection locked="0"/>
    </xf>
    <xf numFmtId="165" fontId="11" fillId="0" borderId="14" xfId="0" applyNumberFormat="1" applyFont="1" applyBorder="1" applyAlignment="1" applyProtection="1">
      <alignment horizontal="right" vertical="center" indent="1"/>
      <protection locked="0"/>
    </xf>
    <xf numFmtId="165" fontId="11" fillId="0" borderId="26" xfId="0" applyNumberFormat="1" applyFont="1" applyBorder="1" applyAlignment="1" applyProtection="1">
      <alignment horizontal="right" vertical="center" indent="1"/>
      <protection locked="0"/>
    </xf>
    <xf numFmtId="3" fontId="11" fillId="0" borderId="6" xfId="0" applyNumberFormat="1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0" fillId="0" borderId="0" xfId="0" applyAlignment="1"/>
    <xf numFmtId="3" fontId="0" fillId="0" borderId="29" xfId="0" applyNumberFormat="1" applyFont="1" applyBorder="1" applyAlignment="1" applyProtection="1">
      <alignment horizontal="left" indent="1"/>
      <protection locked="0"/>
    </xf>
    <xf numFmtId="0" fontId="6" fillId="0" borderId="8" xfId="0" quotePrefix="1" applyFont="1" applyBorder="1" applyAlignment="1">
      <alignment horizontal="center" vertical="center"/>
    </xf>
    <xf numFmtId="0" fontId="15" fillId="0" borderId="28" xfId="0" applyFont="1" applyBorder="1"/>
    <xf numFmtId="165" fontId="11" fillId="0" borderId="0" xfId="0" applyNumberFormat="1" applyFont="1" applyBorder="1" applyAlignment="1" applyProtection="1">
      <alignment horizontal="right" vertical="center" indent="1"/>
    </xf>
    <xf numFmtId="0" fontId="5" fillId="0" borderId="0" xfId="0" applyFont="1" applyAlignment="1">
      <alignment horizontal="left"/>
    </xf>
    <xf numFmtId="0" fontId="0" fillId="0" borderId="0" xfId="0" applyFont="1" applyBorder="1" applyAlignment="1" applyProtection="1"/>
    <xf numFmtId="0" fontId="5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protection locked="0"/>
    </xf>
    <xf numFmtId="0" fontId="0" fillId="0" borderId="0" xfId="0" applyFont="1" applyBorder="1" applyAlignment="1" applyProtection="1">
      <alignment horizontal="left" indent="1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3" fontId="11" fillId="0" borderId="32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6" xfId="0" applyBorder="1"/>
    <xf numFmtId="0" fontId="6" fillId="0" borderId="7" xfId="0" quotePrefix="1" applyFont="1" applyBorder="1" applyAlignment="1">
      <alignment horizontal="center" vertical="center"/>
    </xf>
    <xf numFmtId="165" fontId="11" fillId="0" borderId="39" xfId="0" applyNumberFormat="1" applyFont="1" applyBorder="1" applyAlignment="1" applyProtection="1">
      <alignment horizontal="right" vertical="center" indent="1"/>
      <protection locked="0"/>
    </xf>
    <xf numFmtId="164" fontId="5" fillId="0" borderId="40" xfId="0" applyNumberFormat="1" applyFont="1" applyFill="1" applyBorder="1" applyAlignment="1" applyProtection="1">
      <alignment horizontal="right" vertical="center" indent="1"/>
    </xf>
    <xf numFmtId="165" fontId="11" fillId="0" borderId="41" xfId="0" applyNumberFormat="1" applyFont="1" applyBorder="1" applyAlignment="1" applyProtection="1">
      <alignment horizontal="right" vertical="center" indent="1"/>
      <protection locked="0"/>
    </xf>
    <xf numFmtId="0" fontId="2" fillId="0" borderId="37" xfId="0" applyFont="1" applyBorder="1" applyAlignment="1">
      <alignment horizontal="left" vertical="center" indent="1"/>
    </xf>
    <xf numFmtId="4" fontId="2" fillId="0" borderId="42" xfId="0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24" xfId="0" applyBorder="1" applyAlignment="1">
      <alignment vertical="center"/>
    </xf>
    <xf numFmtId="14" fontId="0" fillId="0" borderId="0" xfId="0" applyNumberFormat="1" applyBorder="1" applyAlignment="1" applyProtection="1">
      <alignment horizontal="center"/>
    </xf>
    <xf numFmtId="0" fontId="6" fillId="4" borderId="8" xfId="0" applyFont="1" applyFill="1" applyBorder="1" applyAlignment="1" applyProtection="1">
      <alignment horizontal="left" vertical="center" indent="1"/>
    </xf>
    <xf numFmtId="0" fontId="6" fillId="4" borderId="24" xfId="0" applyFont="1" applyFill="1" applyBorder="1" applyAlignment="1" applyProtection="1">
      <alignment horizontal="left" vertical="center" indent="1"/>
    </xf>
    <xf numFmtId="0" fontId="0" fillId="0" borderId="0" xfId="0" applyAlignment="1" applyProtection="1"/>
    <xf numFmtId="4" fontId="11" fillId="0" borderId="8" xfId="0" applyNumberFormat="1" applyFont="1" applyBorder="1" applyAlignment="1">
      <alignment horizontal="right" vertical="center" indent="1"/>
    </xf>
    <xf numFmtId="0" fontId="0" fillId="0" borderId="18" xfId="0" applyBorder="1" applyAlignment="1">
      <alignment horizontal="right" vertical="center" indent="1"/>
    </xf>
    <xf numFmtId="4" fontId="11" fillId="0" borderId="4" xfId="0" applyNumberFormat="1" applyFont="1" applyBorder="1" applyAlignment="1">
      <alignment horizontal="right" vertical="center" indent="1"/>
    </xf>
    <xf numFmtId="0" fontId="0" fillId="0" borderId="13" xfId="0" applyBorder="1" applyAlignment="1">
      <alignment horizontal="right" vertical="center" indent="1"/>
    </xf>
    <xf numFmtId="4" fontId="11" fillId="0" borderId="9" xfId="0" applyNumberFormat="1" applyFont="1" applyBorder="1" applyAlignment="1">
      <alignment horizontal="right" vertical="center" indent="1"/>
    </xf>
    <xf numFmtId="0" fontId="0" fillId="0" borderId="38" xfId="0" applyBorder="1" applyAlignment="1">
      <alignment horizontal="right" vertical="center" indent="1"/>
    </xf>
    <xf numFmtId="4" fontId="11" fillId="0" borderId="8" xfId="0" applyNumberFormat="1" applyFont="1" applyBorder="1" applyAlignment="1" applyProtection="1">
      <alignment horizontal="right" vertical="center" indent="1"/>
    </xf>
    <xf numFmtId="0" fontId="0" fillId="0" borderId="18" xfId="0" applyBorder="1" applyAlignment="1" applyProtection="1">
      <alignment horizontal="right" vertical="center" indent="1"/>
    </xf>
    <xf numFmtId="4" fontId="11" fillId="0" borderId="4" xfId="0" applyNumberFormat="1" applyFont="1" applyBorder="1" applyAlignment="1" applyProtection="1">
      <alignment horizontal="right" vertical="center" indent="1"/>
      <protection locked="0"/>
    </xf>
    <xf numFmtId="0" fontId="0" fillId="0" borderId="13" xfId="0" applyBorder="1" applyAlignment="1" applyProtection="1">
      <alignment horizontal="right" vertical="center" indent="1"/>
      <protection locked="0"/>
    </xf>
    <xf numFmtId="0" fontId="0" fillId="0" borderId="0" xfId="0" applyAlignment="1"/>
    <xf numFmtId="0" fontId="9" fillId="0" borderId="12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9" fillId="0" borderId="37" xfId="0" applyFont="1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9" fillId="0" borderId="22" xfId="0" applyFont="1" applyFill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9" fillId="0" borderId="12" xfId="0" applyFont="1" applyFill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3" fontId="1" fillId="0" borderId="32" xfId="0" applyNumberFormat="1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12" xfId="0" applyNumberFormat="1" applyFont="1" applyBorder="1" applyAlignment="1">
      <alignment horizontal="left" vertical="center"/>
    </xf>
    <xf numFmtId="0" fontId="4" fillId="2" borderId="12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9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0" fontId="11" fillId="0" borderId="6" xfId="0" applyNumberFormat="1" applyFont="1" applyBorder="1" applyAlignment="1">
      <alignment horizontal="center" vertical="center" wrapText="1"/>
    </xf>
    <xf numFmtId="10" fontId="11" fillId="0" borderId="11" xfId="0" applyNumberFormat="1" applyFont="1" applyBorder="1" applyAlignment="1">
      <alignment horizontal="center" vertical="center" wrapText="1"/>
    </xf>
    <xf numFmtId="0" fontId="0" fillId="0" borderId="30" xfId="0" applyBorder="1" applyAlignment="1">
      <alignment horizontal="right"/>
    </xf>
    <xf numFmtId="0" fontId="0" fillId="0" borderId="30" xfId="0" applyBorder="1" applyAlignment="1"/>
    <xf numFmtId="4" fontId="11" fillId="0" borderId="24" xfId="0" applyNumberFormat="1" applyFont="1" applyBorder="1" applyAlignment="1" applyProtection="1">
      <alignment horizontal="right" vertical="center" indent="1"/>
      <protection locked="0"/>
    </xf>
    <xf numFmtId="0" fontId="0" fillId="0" borderId="25" xfId="0" applyBorder="1" applyAlignment="1" applyProtection="1">
      <alignment horizontal="right" vertical="center" indent="1"/>
      <protection locked="0"/>
    </xf>
    <xf numFmtId="10" fontId="12" fillId="0" borderId="0" xfId="0" applyNumberFormat="1" applyFont="1" applyBorder="1" applyAlignment="1"/>
    <xf numFmtId="10" fontId="12" fillId="0" borderId="10" xfId="0" applyNumberFormat="1" applyFont="1" applyBorder="1" applyAlignment="1"/>
    <xf numFmtId="0" fontId="0" fillId="0" borderId="28" xfId="0" applyBorder="1" applyAlignment="1"/>
    <xf numFmtId="0" fontId="0" fillId="0" borderId="27" xfId="0" applyBorder="1" applyAlignment="1"/>
    <xf numFmtId="0" fontId="2" fillId="0" borderId="29" xfId="0" applyFont="1" applyBorder="1" applyAlignment="1" applyProtection="1">
      <alignment horizontal="left" indent="1"/>
      <protection locked="0"/>
    </xf>
    <xf numFmtId="0" fontId="4" fillId="2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4" fontId="11" fillId="0" borderId="7" xfId="0" applyNumberFormat="1" applyFont="1" applyBorder="1" applyAlignment="1">
      <alignment horizontal="right" vertical="center" indent="1"/>
    </xf>
    <xf numFmtId="0" fontId="0" fillId="0" borderId="10" xfId="0" applyBorder="1" applyAlignment="1">
      <alignment horizontal="right" vertical="center" indent="1"/>
    </xf>
    <xf numFmtId="4" fontId="11" fillId="0" borderId="0" xfId="0" applyNumberFormat="1" applyFont="1" applyBorder="1" applyAlignment="1">
      <alignment horizontal="right" vertical="center" indent="1"/>
    </xf>
    <xf numFmtId="0" fontId="0" fillId="0" borderId="0" xfId="0" applyBorder="1" applyAlignment="1">
      <alignment horizontal="right" vertical="center" indent="1"/>
    </xf>
    <xf numFmtId="0" fontId="9" fillId="0" borderId="37" xfId="0" applyFont="1" applyFill="1" applyBorder="1" applyAlignment="1">
      <alignment horizontal="left" vertical="center"/>
    </xf>
    <xf numFmtId="0" fontId="2" fillId="0" borderId="22" xfId="0" applyFont="1" applyFill="1" applyBorder="1" applyAlignment="1" applyProtection="1">
      <alignment horizontal="left" vertical="center"/>
    </xf>
    <xf numFmtId="0" fontId="0" fillId="0" borderId="22" xfId="0" applyBorder="1" applyAlignment="1" applyProtection="1">
      <alignment horizontal="left" vertical="center"/>
    </xf>
    <xf numFmtId="0" fontId="2" fillId="0" borderId="12" xfId="0" applyFont="1" applyFill="1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7" fillId="0" borderId="29" xfId="0" applyFont="1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left"/>
      <protection locked="0"/>
    </xf>
    <xf numFmtId="0" fontId="0" fillId="0" borderId="31" xfId="0" applyFont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protection locked="0"/>
    </xf>
    <xf numFmtId="0" fontId="2" fillId="0" borderId="33" xfId="0" applyFont="1" applyFill="1" applyBorder="1" applyAlignment="1" applyProtection="1">
      <alignment horizontal="left" vertical="center"/>
      <protection locked="0"/>
    </xf>
    <xf numFmtId="0" fontId="0" fillId="0" borderId="33" xfId="0" applyBorder="1" applyAlignment="1" applyProtection="1">
      <alignment horizontal="left" vertical="center"/>
      <protection locked="0"/>
    </xf>
    <xf numFmtId="0" fontId="0" fillId="0" borderId="25" xfId="0" applyBorder="1" applyAlignment="1" applyProtection="1">
      <alignment horizontal="left" vertical="center"/>
      <protection locked="0"/>
    </xf>
    <xf numFmtId="0" fontId="8" fillId="3" borderId="35" xfId="0" applyFont="1" applyFill="1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36" xfId="0" applyBorder="1" applyAlignment="1">
      <alignment vertical="center"/>
    </xf>
    <xf numFmtId="0" fontId="8" fillId="2" borderId="35" xfId="0" applyFont="1" applyFill="1" applyBorder="1" applyAlignment="1">
      <alignment horizontal="center" vertical="center"/>
    </xf>
    <xf numFmtId="0" fontId="0" fillId="0" borderId="34" xfId="0" applyBorder="1" applyAlignment="1"/>
    <xf numFmtId="0" fontId="0" fillId="0" borderId="36" xfId="0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313266</xdr:colOff>
      <xdr:row>78</xdr:row>
      <xdr:rowOff>116417</xdr:rowOff>
    </xdr:from>
    <xdr:to>
      <xdr:col>1</xdr:col>
      <xdr:colOff>1151466</xdr:colOff>
      <xdr:row>83</xdr:row>
      <xdr:rowOff>51858</xdr:rowOff>
    </xdr:to>
    <xdr:pic>
      <xdr:nvPicPr>
        <xdr:cNvPr id="2" name="1 Imagen" descr="RSCE logo corona nueva3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0266" y="11070167"/>
          <a:ext cx="838200" cy="10996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73</xdr:row>
          <xdr:rowOff>152400</xdr:rowOff>
        </xdr:from>
        <xdr:to>
          <xdr:col>2</xdr:col>
          <xdr:colOff>276225</xdr:colOff>
          <xdr:row>76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22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76</xdr:row>
          <xdr:rowOff>19050</xdr:rowOff>
        </xdr:from>
        <xdr:to>
          <xdr:col>2</xdr:col>
          <xdr:colOff>266700</xdr:colOff>
          <xdr:row>78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905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P83"/>
  <sheetViews>
    <sheetView tabSelected="1" zoomScale="90" zoomScaleNormal="90" workbookViewId="0">
      <selection activeCell="C1" sqref="C1:J1"/>
    </sheetView>
  </sheetViews>
  <sheetFormatPr baseColWidth="10" defaultColWidth="15.7109375" defaultRowHeight="12.75" x14ac:dyDescent="0.2"/>
  <cols>
    <col min="1" max="1" width="1.85546875" customWidth="1"/>
    <col min="2" max="2" width="48.7109375" customWidth="1"/>
    <col min="3" max="3" width="4.28515625" customWidth="1"/>
    <col min="4" max="4" width="14.28515625" customWidth="1"/>
    <col min="5" max="5" width="13.28515625" customWidth="1"/>
    <col min="6" max="6" width="8.140625" customWidth="1"/>
    <col min="7" max="7" width="9.7109375" customWidth="1"/>
    <col min="8" max="8" width="6.140625" customWidth="1"/>
    <col min="9" max="9" width="1.85546875" customWidth="1"/>
    <col min="10" max="10" width="13.42578125" customWidth="1"/>
    <col min="11" max="11" width="11.5703125" customWidth="1"/>
  </cols>
  <sheetData>
    <row r="1" spans="1:12" ht="18" x14ac:dyDescent="0.25">
      <c r="B1" s="19" t="s">
        <v>52</v>
      </c>
      <c r="C1" s="139"/>
      <c r="D1" s="140"/>
      <c r="E1" s="140"/>
      <c r="F1" s="140"/>
      <c r="G1" s="140"/>
      <c r="H1" s="140"/>
      <c r="I1" s="140"/>
      <c r="J1" s="140"/>
    </row>
    <row r="2" spans="1:12" ht="21.75" customHeight="1" x14ac:dyDescent="0.2">
      <c r="B2" s="43" t="s">
        <v>53</v>
      </c>
      <c r="C2" s="141"/>
      <c r="D2" s="142"/>
      <c r="E2" s="81"/>
      <c r="F2" s="95"/>
      <c r="G2" s="95"/>
      <c r="H2" s="95"/>
      <c r="I2" s="95"/>
      <c r="J2" s="95"/>
    </row>
    <row r="3" spans="1:12" ht="21" thickBot="1" x14ac:dyDescent="0.25">
      <c r="B3" s="16"/>
      <c r="C3" s="53"/>
      <c r="D3" s="16"/>
      <c r="E3" s="53"/>
      <c r="F3" s="16"/>
      <c r="G3" s="16"/>
      <c r="H3" s="16"/>
      <c r="I3" s="18"/>
      <c r="J3" s="68"/>
    </row>
    <row r="4" spans="1:12" ht="39" customHeight="1" thickTop="1" x14ac:dyDescent="0.2">
      <c r="A4" s="70"/>
      <c r="B4" s="107" t="s">
        <v>38</v>
      </c>
      <c r="C4" s="107"/>
      <c r="D4" s="108"/>
      <c r="E4" s="109"/>
      <c r="F4" s="65" t="s">
        <v>54</v>
      </c>
      <c r="G4" s="47" t="s">
        <v>40</v>
      </c>
      <c r="H4" s="116" t="s">
        <v>41</v>
      </c>
      <c r="I4" s="117"/>
      <c r="J4" s="48" t="s">
        <v>42</v>
      </c>
    </row>
    <row r="5" spans="1:12" s="1" customFormat="1" ht="15.95" customHeight="1" x14ac:dyDescent="0.2">
      <c r="A5" s="147" t="s">
        <v>0</v>
      </c>
      <c r="B5" s="148"/>
      <c r="C5" s="148"/>
      <c r="D5" s="148"/>
      <c r="E5" s="148"/>
      <c r="F5" s="148"/>
      <c r="G5" s="148"/>
      <c r="H5" s="148"/>
      <c r="I5" s="148"/>
      <c r="J5" s="149"/>
    </row>
    <row r="6" spans="1:12" s="1" customFormat="1" ht="12.75" customHeight="1" x14ac:dyDescent="0.2">
      <c r="A6" s="77"/>
      <c r="B6" s="106" t="s">
        <v>47</v>
      </c>
      <c r="C6" s="106"/>
      <c r="D6" s="103"/>
      <c r="E6" s="104"/>
      <c r="F6" s="55" t="s">
        <v>70</v>
      </c>
      <c r="G6" s="44"/>
      <c r="H6" s="85">
        <v>20.71</v>
      </c>
      <c r="I6" s="86"/>
      <c r="J6" s="32">
        <f>G6*H6</f>
        <v>0</v>
      </c>
      <c r="L6" s="12"/>
    </row>
    <row r="7" spans="1:12" s="1" customFormat="1" ht="12.75" customHeight="1" x14ac:dyDescent="0.2">
      <c r="A7" s="78"/>
      <c r="B7" s="66" t="s">
        <v>48</v>
      </c>
      <c r="C7" s="63"/>
      <c r="D7" s="63"/>
      <c r="E7" s="64"/>
      <c r="F7" s="55" t="s">
        <v>71</v>
      </c>
      <c r="G7" s="45"/>
      <c r="H7" s="87">
        <v>23.36</v>
      </c>
      <c r="I7" s="88"/>
      <c r="J7" s="32">
        <f t="shared" ref="J7:J18" si="0">G7*H7</f>
        <v>0</v>
      </c>
      <c r="L7" s="12"/>
    </row>
    <row r="8" spans="1:12" s="1" customFormat="1" ht="12.75" customHeight="1" x14ac:dyDescent="0.2">
      <c r="A8" s="78"/>
      <c r="B8" s="110" t="s">
        <v>1</v>
      </c>
      <c r="C8" s="97"/>
      <c r="D8" s="97"/>
      <c r="E8" s="98"/>
      <c r="F8" s="55" t="s">
        <v>72</v>
      </c>
      <c r="G8" s="45"/>
      <c r="H8" s="87">
        <v>11.99</v>
      </c>
      <c r="I8" s="88"/>
      <c r="J8" s="32">
        <f t="shared" si="0"/>
        <v>0</v>
      </c>
      <c r="L8" s="12"/>
    </row>
    <row r="9" spans="1:12" s="1" customFormat="1" ht="12.75" customHeight="1" x14ac:dyDescent="0.2">
      <c r="A9" s="78"/>
      <c r="B9" s="96" t="s">
        <v>2</v>
      </c>
      <c r="C9" s="96"/>
      <c r="D9" s="97"/>
      <c r="E9" s="98"/>
      <c r="F9" s="55" t="s">
        <v>73</v>
      </c>
      <c r="G9" s="45"/>
      <c r="H9" s="87">
        <v>31.45</v>
      </c>
      <c r="I9" s="88"/>
      <c r="J9" s="32">
        <f t="shared" si="0"/>
        <v>0</v>
      </c>
      <c r="L9" s="12"/>
    </row>
    <row r="10" spans="1:12" s="1" customFormat="1" ht="12.75" customHeight="1" x14ac:dyDescent="0.2">
      <c r="A10" s="78"/>
      <c r="B10" s="96" t="s">
        <v>3</v>
      </c>
      <c r="C10" s="96"/>
      <c r="D10" s="97"/>
      <c r="E10" s="98"/>
      <c r="F10" s="55" t="s">
        <v>74</v>
      </c>
      <c r="G10" s="45"/>
      <c r="H10" s="87">
        <v>34.369999999999997</v>
      </c>
      <c r="I10" s="88"/>
      <c r="J10" s="32">
        <f t="shared" si="0"/>
        <v>0</v>
      </c>
      <c r="L10" s="12"/>
    </row>
    <row r="11" spans="1:12" s="1" customFormat="1" ht="12.75" customHeight="1" x14ac:dyDescent="0.2">
      <c r="A11" s="78"/>
      <c r="B11" s="96" t="s">
        <v>49</v>
      </c>
      <c r="C11" s="96"/>
      <c r="D11" s="97"/>
      <c r="E11" s="98"/>
      <c r="F11" s="55" t="s">
        <v>75</v>
      </c>
      <c r="G11" s="45"/>
      <c r="H11" s="87">
        <v>17.350000000000001</v>
      </c>
      <c r="I11" s="88"/>
      <c r="J11" s="32">
        <f t="shared" si="0"/>
        <v>0</v>
      </c>
      <c r="L11" s="12"/>
    </row>
    <row r="12" spans="1:12" s="1" customFormat="1" ht="12.75" customHeight="1" x14ac:dyDescent="0.2">
      <c r="A12" s="78"/>
      <c r="B12" s="96" t="s">
        <v>50</v>
      </c>
      <c r="C12" s="96"/>
      <c r="D12" s="97"/>
      <c r="E12" s="98"/>
      <c r="F12" s="55" t="s">
        <v>76</v>
      </c>
      <c r="G12" s="45"/>
      <c r="H12" s="87">
        <v>18.37</v>
      </c>
      <c r="I12" s="88"/>
      <c r="J12" s="32">
        <f t="shared" si="0"/>
        <v>0</v>
      </c>
      <c r="L12" s="12"/>
    </row>
    <row r="13" spans="1:12" s="1" customFormat="1" ht="12.75" customHeight="1" x14ac:dyDescent="0.2">
      <c r="A13" s="78"/>
      <c r="B13" s="96" t="s">
        <v>63</v>
      </c>
      <c r="C13" s="96"/>
      <c r="D13" s="97"/>
      <c r="E13" s="98"/>
      <c r="F13" s="55" t="s">
        <v>77</v>
      </c>
      <c r="G13" s="45"/>
      <c r="H13" s="87">
        <v>17.350000000000001</v>
      </c>
      <c r="I13" s="88"/>
      <c r="J13" s="32">
        <f t="shared" si="0"/>
        <v>0</v>
      </c>
      <c r="L13" s="12"/>
    </row>
    <row r="14" spans="1:12" s="1" customFormat="1" ht="12.75" customHeight="1" x14ac:dyDescent="0.2">
      <c r="A14" s="78"/>
      <c r="B14" s="96" t="s">
        <v>64</v>
      </c>
      <c r="C14" s="96"/>
      <c r="D14" s="97"/>
      <c r="E14" s="98"/>
      <c r="F14" s="55" t="s">
        <v>78</v>
      </c>
      <c r="G14" s="45"/>
      <c r="H14" s="87">
        <v>18.37</v>
      </c>
      <c r="I14" s="88"/>
      <c r="J14" s="32">
        <f t="shared" si="0"/>
        <v>0</v>
      </c>
      <c r="L14" s="12"/>
    </row>
    <row r="15" spans="1:12" s="1" customFormat="1" ht="12.75" customHeight="1" x14ac:dyDescent="0.2">
      <c r="A15" s="78"/>
      <c r="B15" s="96" t="s">
        <v>65</v>
      </c>
      <c r="C15" s="96"/>
      <c r="D15" s="97"/>
      <c r="E15" s="98"/>
      <c r="F15" s="55" t="s">
        <v>79</v>
      </c>
      <c r="G15" s="45"/>
      <c r="H15" s="87">
        <v>28.33</v>
      </c>
      <c r="I15" s="88"/>
      <c r="J15" s="32">
        <f t="shared" si="0"/>
        <v>0</v>
      </c>
      <c r="L15" s="12"/>
    </row>
    <row r="16" spans="1:12" s="1" customFormat="1" ht="12.75" customHeight="1" x14ac:dyDescent="0.2">
      <c r="A16" s="78"/>
      <c r="B16" s="96" t="s">
        <v>66</v>
      </c>
      <c r="C16" s="96"/>
      <c r="D16" s="97"/>
      <c r="E16" s="98"/>
      <c r="F16" s="55" t="s">
        <v>80</v>
      </c>
      <c r="G16" s="45"/>
      <c r="H16" s="87">
        <v>30.78</v>
      </c>
      <c r="I16" s="88"/>
      <c r="J16" s="32">
        <f t="shared" si="0"/>
        <v>0</v>
      </c>
      <c r="L16" s="12"/>
    </row>
    <row r="17" spans="1:12" s="1" customFormat="1" ht="12.75" customHeight="1" x14ac:dyDescent="0.2">
      <c r="A17" s="78"/>
      <c r="B17" s="96" t="s">
        <v>4</v>
      </c>
      <c r="C17" s="96"/>
      <c r="D17" s="97"/>
      <c r="E17" s="98"/>
      <c r="F17" s="55" t="s">
        <v>81</v>
      </c>
      <c r="G17" s="45"/>
      <c r="H17" s="87">
        <v>6.41</v>
      </c>
      <c r="I17" s="88"/>
      <c r="J17" s="32">
        <f t="shared" si="0"/>
        <v>0</v>
      </c>
      <c r="L17" s="12"/>
    </row>
    <row r="18" spans="1:12" s="1" customFormat="1" ht="12.75" customHeight="1" x14ac:dyDescent="0.2">
      <c r="A18" s="79"/>
      <c r="B18" s="133" t="s">
        <v>5</v>
      </c>
      <c r="C18" s="133"/>
      <c r="D18" s="100"/>
      <c r="E18" s="101"/>
      <c r="F18" s="71" t="s">
        <v>82</v>
      </c>
      <c r="G18" s="72"/>
      <c r="H18" s="89">
        <v>9.52</v>
      </c>
      <c r="I18" s="90"/>
      <c r="J18" s="73">
        <f t="shared" si="0"/>
        <v>0</v>
      </c>
      <c r="L18" s="12"/>
    </row>
    <row r="19" spans="1:12" s="1" customFormat="1" ht="12.75" customHeight="1" x14ac:dyDescent="0.2">
      <c r="A19" s="150" t="s">
        <v>6</v>
      </c>
      <c r="B19" s="151"/>
      <c r="C19" s="151"/>
      <c r="D19" s="151"/>
      <c r="E19" s="151"/>
      <c r="F19" s="151"/>
      <c r="G19" s="151"/>
      <c r="H19" s="151"/>
      <c r="I19" s="151"/>
      <c r="J19" s="152"/>
      <c r="L19" s="12"/>
    </row>
    <row r="20" spans="1:12" s="1" customFormat="1" ht="12.75" customHeight="1" x14ac:dyDescent="0.2">
      <c r="A20" s="77"/>
      <c r="B20" s="106" t="s">
        <v>46</v>
      </c>
      <c r="C20" s="106"/>
      <c r="D20" s="103"/>
      <c r="E20" s="104"/>
      <c r="F20" s="55" t="s">
        <v>83</v>
      </c>
      <c r="G20" s="44"/>
      <c r="H20" s="85">
        <v>18.22</v>
      </c>
      <c r="I20" s="86"/>
      <c r="J20" s="32">
        <f t="shared" ref="J20:J29" si="1">G20*H20</f>
        <v>0</v>
      </c>
      <c r="L20" s="12"/>
    </row>
    <row r="21" spans="1:12" s="1" customFormat="1" ht="12.75" customHeight="1" x14ac:dyDescent="0.2">
      <c r="A21" s="78"/>
      <c r="B21" s="96" t="s">
        <v>61</v>
      </c>
      <c r="C21" s="96"/>
      <c r="D21" s="97"/>
      <c r="E21" s="98"/>
      <c r="F21" s="55" t="s">
        <v>84</v>
      </c>
      <c r="G21" s="45"/>
      <c r="H21" s="87">
        <v>27.12</v>
      </c>
      <c r="I21" s="88"/>
      <c r="J21" s="32">
        <f t="shared" si="1"/>
        <v>0</v>
      </c>
      <c r="L21" s="12"/>
    </row>
    <row r="22" spans="1:12" s="1" customFormat="1" ht="12.75" customHeight="1" x14ac:dyDescent="0.2">
      <c r="A22" s="78"/>
      <c r="B22" s="96" t="s">
        <v>7</v>
      </c>
      <c r="C22" s="96"/>
      <c r="D22" s="97"/>
      <c r="E22" s="98"/>
      <c r="F22" s="55" t="s">
        <v>85</v>
      </c>
      <c r="G22" s="45"/>
      <c r="H22" s="87">
        <v>2.5299999999999998</v>
      </c>
      <c r="I22" s="88"/>
      <c r="J22" s="32">
        <f t="shared" si="1"/>
        <v>0</v>
      </c>
      <c r="L22" s="12"/>
    </row>
    <row r="23" spans="1:12" s="1" customFormat="1" ht="12.75" customHeight="1" x14ac:dyDescent="0.2">
      <c r="A23" s="78"/>
      <c r="B23" s="96" t="s">
        <v>8</v>
      </c>
      <c r="C23" s="96"/>
      <c r="D23" s="97"/>
      <c r="E23" s="98"/>
      <c r="F23" s="55" t="s">
        <v>86</v>
      </c>
      <c r="G23" s="45"/>
      <c r="H23" s="87">
        <v>1.83</v>
      </c>
      <c r="I23" s="88"/>
      <c r="J23" s="32">
        <f t="shared" si="1"/>
        <v>0</v>
      </c>
      <c r="L23" s="12"/>
    </row>
    <row r="24" spans="1:12" s="1" customFormat="1" ht="12.75" customHeight="1" x14ac:dyDescent="0.2">
      <c r="A24" s="78"/>
      <c r="B24" s="96" t="s">
        <v>9</v>
      </c>
      <c r="C24" s="96"/>
      <c r="D24" s="97"/>
      <c r="E24" s="98"/>
      <c r="F24" s="55" t="s">
        <v>87</v>
      </c>
      <c r="G24" s="45"/>
      <c r="H24" s="87">
        <v>8.23</v>
      </c>
      <c r="I24" s="88"/>
      <c r="J24" s="32">
        <f t="shared" si="1"/>
        <v>0</v>
      </c>
      <c r="L24" s="12"/>
    </row>
    <row r="25" spans="1:12" s="1" customFormat="1" ht="12.75" customHeight="1" x14ac:dyDescent="0.2">
      <c r="A25" s="78"/>
      <c r="B25" s="105" t="s">
        <v>10</v>
      </c>
      <c r="C25" s="105"/>
      <c r="D25" s="97"/>
      <c r="E25" s="98"/>
      <c r="F25" s="55" t="s">
        <v>88</v>
      </c>
      <c r="G25" s="45"/>
      <c r="H25" s="87">
        <v>8.23</v>
      </c>
      <c r="I25" s="88"/>
      <c r="J25" s="32">
        <f t="shared" si="1"/>
        <v>0</v>
      </c>
      <c r="L25" s="12"/>
    </row>
    <row r="26" spans="1:12" s="1" customFormat="1" ht="12.75" customHeight="1" x14ac:dyDescent="0.2">
      <c r="A26" s="78"/>
      <c r="B26" s="105" t="s">
        <v>11</v>
      </c>
      <c r="C26" s="105"/>
      <c r="D26" s="97"/>
      <c r="E26" s="98"/>
      <c r="F26" s="55" t="s">
        <v>89</v>
      </c>
      <c r="G26" s="45"/>
      <c r="H26" s="87">
        <v>16.440000000000001</v>
      </c>
      <c r="I26" s="88"/>
      <c r="J26" s="32">
        <f t="shared" si="1"/>
        <v>0</v>
      </c>
      <c r="L26" s="12"/>
    </row>
    <row r="27" spans="1:12" s="1" customFormat="1" ht="12.75" customHeight="1" x14ac:dyDescent="0.2">
      <c r="A27" s="78"/>
      <c r="B27" s="105" t="s">
        <v>51</v>
      </c>
      <c r="C27" s="105"/>
      <c r="D27" s="97"/>
      <c r="E27" s="98"/>
      <c r="F27" s="55" t="s">
        <v>90</v>
      </c>
      <c r="G27" s="45"/>
      <c r="H27" s="87">
        <v>24.67</v>
      </c>
      <c r="I27" s="88"/>
      <c r="J27" s="32">
        <f t="shared" si="1"/>
        <v>0</v>
      </c>
      <c r="L27" s="12"/>
    </row>
    <row r="28" spans="1:12" s="1" customFormat="1" ht="12.75" customHeight="1" x14ac:dyDescent="0.2">
      <c r="A28" s="78"/>
      <c r="B28" s="96" t="s">
        <v>12</v>
      </c>
      <c r="C28" s="96"/>
      <c r="D28" s="97"/>
      <c r="E28" s="98"/>
      <c r="F28" s="55" t="s">
        <v>91</v>
      </c>
      <c r="G28" s="45"/>
      <c r="H28" s="87">
        <v>4.79</v>
      </c>
      <c r="I28" s="88"/>
      <c r="J28" s="32">
        <f t="shared" si="1"/>
        <v>0</v>
      </c>
      <c r="L28" s="12"/>
    </row>
    <row r="29" spans="1:12" s="1" customFormat="1" ht="12.75" customHeight="1" x14ac:dyDescent="0.2">
      <c r="A29" s="79"/>
      <c r="B29" s="99" t="s">
        <v>13</v>
      </c>
      <c r="C29" s="99"/>
      <c r="D29" s="100"/>
      <c r="E29" s="101"/>
      <c r="F29" s="71" t="s">
        <v>92</v>
      </c>
      <c r="G29" s="72"/>
      <c r="H29" s="89">
        <v>18.22</v>
      </c>
      <c r="I29" s="90"/>
      <c r="J29" s="73">
        <f t="shared" si="1"/>
        <v>0</v>
      </c>
      <c r="L29" s="12"/>
    </row>
    <row r="30" spans="1:12" s="1" customFormat="1" ht="12.75" customHeight="1" x14ac:dyDescent="0.2">
      <c r="A30" s="150" t="s">
        <v>14</v>
      </c>
      <c r="B30" s="151"/>
      <c r="C30" s="151"/>
      <c r="D30" s="151"/>
      <c r="E30" s="151"/>
      <c r="F30" s="151"/>
      <c r="G30" s="151"/>
      <c r="H30" s="151"/>
      <c r="I30" s="151"/>
      <c r="J30" s="152"/>
      <c r="L30" s="12"/>
    </row>
    <row r="31" spans="1:12" s="1" customFormat="1" ht="12.75" customHeight="1" x14ac:dyDescent="0.2">
      <c r="A31" s="77"/>
      <c r="B31" s="106" t="s">
        <v>15</v>
      </c>
      <c r="C31" s="106"/>
      <c r="D31" s="103"/>
      <c r="E31" s="104"/>
      <c r="F31" s="55" t="s">
        <v>93</v>
      </c>
      <c r="G31" s="44">
        <v>0</v>
      </c>
      <c r="H31" s="85">
        <v>74.040000000000006</v>
      </c>
      <c r="I31" s="86"/>
      <c r="J31" s="32">
        <f t="shared" ref="J31:J33" si="2">G31*H31</f>
        <v>0</v>
      </c>
      <c r="L31" s="12"/>
    </row>
    <row r="32" spans="1:12" s="1" customFormat="1" ht="12.75" customHeight="1" x14ac:dyDescent="0.2">
      <c r="A32" s="78"/>
      <c r="B32" s="96" t="s">
        <v>16</v>
      </c>
      <c r="C32" s="96"/>
      <c r="D32" s="97"/>
      <c r="E32" s="98"/>
      <c r="F32" s="55" t="s">
        <v>94</v>
      </c>
      <c r="G32" s="45"/>
      <c r="H32" s="87">
        <v>25.29</v>
      </c>
      <c r="I32" s="88"/>
      <c r="J32" s="32">
        <f t="shared" si="2"/>
        <v>0</v>
      </c>
      <c r="L32" s="12"/>
    </row>
    <row r="33" spans="1:16" s="1" customFormat="1" ht="12.75" customHeight="1" x14ac:dyDescent="0.2">
      <c r="A33" s="79"/>
      <c r="B33" s="99" t="s">
        <v>17</v>
      </c>
      <c r="C33" s="99"/>
      <c r="D33" s="100"/>
      <c r="E33" s="101"/>
      <c r="F33" s="71" t="s">
        <v>95</v>
      </c>
      <c r="G33" s="72"/>
      <c r="H33" s="89">
        <v>3.77</v>
      </c>
      <c r="I33" s="90"/>
      <c r="J33" s="73">
        <f t="shared" si="2"/>
        <v>0</v>
      </c>
      <c r="L33" s="12"/>
    </row>
    <row r="34" spans="1:16" s="1" customFormat="1" ht="12.75" customHeight="1" x14ac:dyDescent="0.2">
      <c r="A34" s="150" t="s">
        <v>18</v>
      </c>
      <c r="B34" s="151"/>
      <c r="C34" s="151"/>
      <c r="D34" s="151"/>
      <c r="E34" s="151"/>
      <c r="F34" s="151"/>
      <c r="G34" s="151"/>
      <c r="H34" s="151"/>
      <c r="I34" s="151"/>
      <c r="J34" s="152"/>
      <c r="L34" s="12"/>
    </row>
    <row r="35" spans="1:16" s="1" customFormat="1" ht="12.75" customHeight="1" x14ac:dyDescent="0.2">
      <c r="A35" s="77"/>
      <c r="B35" s="102" t="s">
        <v>56</v>
      </c>
      <c r="C35" s="102"/>
      <c r="D35" s="103"/>
      <c r="E35" s="104"/>
      <c r="F35" s="55" t="s">
        <v>96</v>
      </c>
      <c r="G35" s="44"/>
      <c r="H35" s="85">
        <v>14.54</v>
      </c>
      <c r="I35" s="86"/>
      <c r="J35" s="32">
        <f t="shared" ref="J35" si="3">G35*H35</f>
        <v>0</v>
      </c>
      <c r="L35" s="49"/>
      <c r="M35" s="57"/>
      <c r="N35" s="131"/>
      <c r="O35" s="132"/>
      <c r="P35" s="50"/>
    </row>
    <row r="36" spans="1:16" s="1" customFormat="1" ht="12.75" customHeight="1" x14ac:dyDescent="0.2">
      <c r="A36" s="79"/>
      <c r="B36" s="99" t="s">
        <v>19</v>
      </c>
      <c r="C36" s="99"/>
      <c r="D36" s="99"/>
      <c r="E36" s="101"/>
      <c r="F36" s="71" t="s">
        <v>97</v>
      </c>
      <c r="G36" s="74"/>
      <c r="H36" s="89">
        <v>3.96</v>
      </c>
      <c r="I36" s="90"/>
      <c r="J36" s="73">
        <f t="shared" ref="J36" si="4">G36*H36</f>
        <v>0</v>
      </c>
      <c r="L36" s="12"/>
    </row>
    <row r="37" spans="1:16" s="1" customFormat="1" ht="12.75" customHeight="1" x14ac:dyDescent="0.2">
      <c r="A37" s="150" t="s">
        <v>20</v>
      </c>
      <c r="B37" s="151"/>
      <c r="C37" s="151"/>
      <c r="D37" s="151"/>
      <c r="E37" s="151"/>
      <c r="F37" s="151"/>
      <c r="G37" s="151"/>
      <c r="H37" s="151"/>
      <c r="I37" s="151"/>
      <c r="J37" s="152"/>
      <c r="L37" s="12"/>
    </row>
    <row r="38" spans="1:16" s="1" customFormat="1" ht="12.75" customHeight="1" x14ac:dyDescent="0.2">
      <c r="A38" s="69"/>
      <c r="B38" s="113" t="s">
        <v>21</v>
      </c>
      <c r="C38" s="113"/>
      <c r="D38" s="114"/>
      <c r="E38" s="115"/>
      <c r="F38" s="71" t="s">
        <v>98</v>
      </c>
      <c r="G38" s="74"/>
      <c r="H38" s="129">
        <v>1</v>
      </c>
      <c r="I38" s="130"/>
      <c r="J38" s="73">
        <f>G38*H38</f>
        <v>0</v>
      </c>
      <c r="L38" s="12"/>
    </row>
    <row r="39" spans="1:16" s="1" customFormat="1" ht="12.75" customHeight="1" x14ac:dyDescent="0.2">
      <c r="A39" s="150" t="s">
        <v>39</v>
      </c>
      <c r="B39" s="148"/>
      <c r="C39" s="148"/>
      <c r="D39" s="148"/>
      <c r="E39" s="148"/>
      <c r="F39" s="148"/>
      <c r="G39" s="148"/>
      <c r="H39" s="148"/>
      <c r="I39" s="148"/>
      <c r="J39" s="149"/>
      <c r="L39" s="12"/>
    </row>
    <row r="40" spans="1:16" s="1" customFormat="1" ht="12.75" customHeight="1" x14ac:dyDescent="0.2">
      <c r="A40" s="69"/>
      <c r="B40" s="102" t="s">
        <v>111</v>
      </c>
      <c r="C40" s="102"/>
      <c r="D40" s="103"/>
      <c r="E40" s="104"/>
      <c r="F40" s="55" t="s">
        <v>99</v>
      </c>
      <c r="G40" s="44"/>
      <c r="H40" s="85">
        <v>40.69</v>
      </c>
      <c r="I40" s="86"/>
      <c r="J40" s="32">
        <f>G40*H40</f>
        <v>0</v>
      </c>
      <c r="L40" s="12"/>
    </row>
    <row r="41" spans="1:16" s="1" customFormat="1" ht="12.75" hidden="1" customHeight="1" x14ac:dyDescent="0.2">
      <c r="A41" s="69"/>
      <c r="B41" s="111" t="s">
        <v>22</v>
      </c>
      <c r="C41" s="111"/>
      <c r="D41" s="111"/>
      <c r="E41" s="111"/>
      <c r="F41" s="111"/>
      <c r="G41" s="112"/>
      <c r="H41" s="17"/>
      <c r="I41" s="27"/>
      <c r="J41" s="20"/>
      <c r="L41" s="12"/>
    </row>
    <row r="42" spans="1:16" s="1" customFormat="1" ht="12.75" hidden="1" customHeight="1" x14ac:dyDescent="0.2">
      <c r="A42" s="69"/>
      <c r="B42" s="67" t="s">
        <v>23</v>
      </c>
      <c r="C42" s="4"/>
      <c r="D42" s="4"/>
      <c r="E42" s="4"/>
      <c r="F42" s="4"/>
      <c r="G42" s="6">
        <v>0</v>
      </c>
      <c r="H42" s="3"/>
      <c r="I42" s="28"/>
      <c r="J42" s="20"/>
      <c r="L42" s="12"/>
    </row>
    <row r="43" spans="1:16" s="1" customFormat="1" ht="12.75" hidden="1" customHeight="1" x14ac:dyDescent="0.2">
      <c r="A43" s="69"/>
      <c r="B43" s="67" t="s">
        <v>24</v>
      </c>
      <c r="C43" s="13"/>
      <c r="D43" s="13"/>
      <c r="E43" s="13"/>
      <c r="F43" s="13"/>
      <c r="G43" s="7">
        <v>0</v>
      </c>
      <c r="H43" s="3"/>
      <c r="I43" s="28"/>
      <c r="J43" s="20"/>
      <c r="L43" s="12"/>
    </row>
    <row r="44" spans="1:16" s="1" customFormat="1" ht="12.75" hidden="1" customHeight="1" x14ac:dyDescent="0.2">
      <c r="A44" s="69"/>
      <c r="B44" s="67" t="s">
        <v>25</v>
      </c>
      <c r="C44" s="13"/>
      <c r="D44" s="13"/>
      <c r="E44" s="13"/>
      <c r="F44" s="13"/>
      <c r="G44" s="2">
        <v>0</v>
      </c>
      <c r="H44" s="3"/>
      <c r="I44" s="28"/>
      <c r="J44" s="20"/>
      <c r="L44" s="12"/>
    </row>
    <row r="45" spans="1:16" s="1" customFormat="1" ht="12.75" hidden="1" customHeight="1" x14ac:dyDescent="0.2">
      <c r="A45" s="69"/>
      <c r="B45" s="67" t="s">
        <v>26</v>
      </c>
      <c r="C45" s="13"/>
      <c r="D45" s="13"/>
      <c r="E45" s="13"/>
      <c r="F45" s="13"/>
      <c r="G45" s="2">
        <v>0</v>
      </c>
      <c r="H45" s="3"/>
      <c r="I45" s="28"/>
      <c r="J45" s="20"/>
      <c r="L45" s="12"/>
    </row>
    <row r="46" spans="1:16" s="1" customFormat="1" ht="12.75" hidden="1" customHeight="1" x14ac:dyDescent="0.2">
      <c r="A46" s="69"/>
      <c r="B46" s="67" t="s">
        <v>27</v>
      </c>
      <c r="C46" s="4"/>
      <c r="D46" s="4"/>
      <c r="E46" s="4"/>
      <c r="F46" s="4"/>
      <c r="G46" s="5">
        <v>9.0015999999999998</v>
      </c>
      <c r="H46" s="3"/>
      <c r="I46" s="28"/>
      <c r="J46" s="20"/>
      <c r="L46" s="12"/>
    </row>
    <row r="47" spans="1:16" s="1" customFormat="1" ht="12.75" hidden="1" customHeight="1" x14ac:dyDescent="0.2">
      <c r="A47" s="69"/>
      <c r="B47" s="67" t="s">
        <v>28</v>
      </c>
      <c r="C47" s="14"/>
      <c r="D47" s="14"/>
      <c r="E47" s="14"/>
      <c r="F47" s="14"/>
      <c r="G47" s="8">
        <v>0</v>
      </c>
      <c r="H47" s="3"/>
      <c r="I47" s="28"/>
      <c r="J47" s="20"/>
      <c r="L47" s="12"/>
    </row>
    <row r="48" spans="1:16" s="1" customFormat="1" ht="12.75" hidden="1" customHeight="1" x14ac:dyDescent="0.2">
      <c r="A48" s="69"/>
      <c r="B48" s="127" t="s">
        <v>29</v>
      </c>
      <c r="C48" s="127"/>
      <c r="D48" s="127"/>
      <c r="E48" s="127"/>
      <c r="F48" s="127"/>
      <c r="G48" s="128"/>
      <c r="H48" s="17"/>
      <c r="I48" s="27"/>
      <c r="J48" s="20"/>
      <c r="L48" s="12"/>
    </row>
    <row r="49" spans="1:12" s="1" customFormat="1" ht="12.75" hidden="1" customHeight="1" x14ac:dyDescent="0.2">
      <c r="A49" s="69"/>
      <c r="B49" s="67" t="s">
        <v>30</v>
      </c>
      <c r="C49" s="13"/>
      <c r="D49" s="13"/>
      <c r="E49" s="13"/>
      <c r="F49" s="13"/>
      <c r="G49" s="2">
        <v>0</v>
      </c>
      <c r="H49" s="3"/>
      <c r="I49" s="28"/>
      <c r="J49" s="20"/>
      <c r="L49" s="12"/>
    </row>
    <row r="50" spans="1:12" s="1" customFormat="1" ht="12.75" hidden="1" customHeight="1" x14ac:dyDescent="0.2">
      <c r="A50" s="69"/>
      <c r="B50" s="67" t="s">
        <v>31</v>
      </c>
      <c r="C50" s="4"/>
      <c r="D50" s="4"/>
      <c r="E50" s="4"/>
      <c r="F50" s="4"/>
      <c r="G50" s="5">
        <v>0</v>
      </c>
      <c r="H50" s="3"/>
      <c r="I50" s="28"/>
      <c r="J50" s="20"/>
      <c r="L50" s="12"/>
    </row>
    <row r="51" spans="1:12" s="1" customFormat="1" ht="12.75" hidden="1" customHeight="1" x14ac:dyDescent="0.2">
      <c r="A51" s="69"/>
      <c r="B51" s="67" t="s">
        <v>32</v>
      </c>
      <c r="C51" s="4"/>
      <c r="D51" s="4"/>
      <c r="E51" s="4"/>
      <c r="F51" s="4"/>
      <c r="G51" s="5">
        <v>0</v>
      </c>
      <c r="H51" s="3"/>
      <c r="I51" s="28"/>
      <c r="J51" s="20"/>
      <c r="L51" s="12"/>
    </row>
    <row r="52" spans="1:12" s="1" customFormat="1" ht="12.75" hidden="1" customHeight="1" x14ac:dyDescent="0.2">
      <c r="A52" s="69"/>
      <c r="B52" s="75" t="s">
        <v>33</v>
      </c>
      <c r="C52" s="14"/>
      <c r="D52" s="14"/>
      <c r="E52" s="14"/>
      <c r="F52" s="14"/>
      <c r="G52" s="8">
        <v>0</v>
      </c>
      <c r="H52" s="76"/>
      <c r="I52" s="28"/>
      <c r="J52" s="20"/>
      <c r="L52" s="12"/>
    </row>
    <row r="53" spans="1:12" s="1" customFormat="1" ht="12.75" customHeight="1" x14ac:dyDescent="0.2">
      <c r="A53" s="150" t="s">
        <v>62</v>
      </c>
      <c r="B53" s="151"/>
      <c r="C53" s="151"/>
      <c r="D53" s="151"/>
      <c r="E53" s="151"/>
      <c r="F53" s="151"/>
      <c r="G53" s="151"/>
      <c r="H53" s="151"/>
      <c r="I53" s="151"/>
      <c r="J53" s="152"/>
      <c r="L53" s="12"/>
    </row>
    <row r="54" spans="1:12" s="1" customFormat="1" ht="12.75" customHeight="1" x14ac:dyDescent="0.2">
      <c r="A54" s="77"/>
      <c r="B54" s="106" t="s">
        <v>34</v>
      </c>
      <c r="C54" s="106"/>
      <c r="D54" s="103"/>
      <c r="E54" s="104"/>
      <c r="F54" s="55" t="s">
        <v>100</v>
      </c>
      <c r="G54" s="44"/>
      <c r="H54" s="85">
        <v>0.91</v>
      </c>
      <c r="I54" s="86"/>
      <c r="J54" s="32">
        <f t="shared" ref="J54:J56" si="5">G54*H54</f>
        <v>0</v>
      </c>
      <c r="L54" s="12"/>
    </row>
    <row r="55" spans="1:12" s="1" customFormat="1" ht="12.75" customHeight="1" x14ac:dyDescent="0.2">
      <c r="A55" s="78"/>
      <c r="B55" s="96" t="s">
        <v>35</v>
      </c>
      <c r="C55" s="96"/>
      <c r="D55" s="97"/>
      <c r="E55" s="98"/>
      <c r="F55" s="55" t="s">
        <v>101</v>
      </c>
      <c r="G55" s="45"/>
      <c r="H55" s="87">
        <v>1.32</v>
      </c>
      <c r="I55" s="88"/>
      <c r="J55" s="32">
        <f t="shared" si="5"/>
        <v>0</v>
      </c>
      <c r="L55" s="12"/>
    </row>
    <row r="56" spans="1:12" s="1" customFormat="1" ht="12.75" customHeight="1" x14ac:dyDescent="0.2">
      <c r="A56" s="79"/>
      <c r="B56" s="99" t="s">
        <v>36</v>
      </c>
      <c r="C56" s="99"/>
      <c r="D56" s="100"/>
      <c r="E56" s="101"/>
      <c r="F56" s="71" t="s">
        <v>102</v>
      </c>
      <c r="G56" s="72"/>
      <c r="H56" s="89">
        <v>1.32</v>
      </c>
      <c r="I56" s="90"/>
      <c r="J56" s="73">
        <f t="shared" si="5"/>
        <v>0</v>
      </c>
      <c r="L56" s="12"/>
    </row>
    <row r="57" spans="1:12" s="1" customFormat="1" ht="12.75" customHeight="1" x14ac:dyDescent="0.2">
      <c r="A57" s="150" t="s">
        <v>37</v>
      </c>
      <c r="B57" s="151"/>
      <c r="C57" s="151"/>
      <c r="D57" s="151"/>
      <c r="E57" s="151"/>
      <c r="F57" s="151"/>
      <c r="G57" s="151"/>
      <c r="H57" s="151"/>
      <c r="I57" s="151"/>
      <c r="J57" s="152"/>
      <c r="L57" s="12"/>
    </row>
    <row r="58" spans="1:12" s="1" customFormat="1" ht="12.75" customHeight="1" x14ac:dyDescent="0.2">
      <c r="A58" s="77"/>
      <c r="B58" s="134" t="s">
        <v>103</v>
      </c>
      <c r="C58" s="134"/>
      <c r="D58" s="135"/>
      <c r="E58" s="104"/>
      <c r="F58" s="55" t="s">
        <v>110</v>
      </c>
      <c r="G58" s="44"/>
      <c r="H58" s="91">
        <v>0.41</v>
      </c>
      <c r="I58" s="92"/>
      <c r="J58" s="32">
        <f t="shared" ref="J58:J62" si="6">G58*H58</f>
        <v>0</v>
      </c>
      <c r="L58" s="12"/>
    </row>
    <row r="59" spans="1:12" s="1" customFormat="1" ht="12.75" customHeight="1" x14ac:dyDescent="0.2">
      <c r="A59" s="78"/>
      <c r="B59" s="136"/>
      <c r="C59" s="136"/>
      <c r="D59" s="137"/>
      <c r="E59" s="138"/>
      <c r="F59" s="82"/>
      <c r="G59" s="45"/>
      <c r="H59" s="93"/>
      <c r="I59" s="94"/>
      <c r="J59" s="32">
        <f t="shared" si="6"/>
        <v>0</v>
      </c>
      <c r="L59" s="12"/>
    </row>
    <row r="60" spans="1:12" s="1" customFormat="1" ht="12.75" customHeight="1" x14ac:dyDescent="0.2">
      <c r="A60" s="78"/>
      <c r="B60" s="136"/>
      <c r="C60" s="136"/>
      <c r="D60" s="137"/>
      <c r="E60" s="138"/>
      <c r="F60" s="82"/>
      <c r="G60" s="45"/>
      <c r="H60" s="93"/>
      <c r="I60" s="94"/>
      <c r="J60" s="32">
        <f t="shared" si="6"/>
        <v>0</v>
      </c>
      <c r="L60" s="12"/>
    </row>
    <row r="61" spans="1:12" s="1" customFormat="1" ht="12.75" customHeight="1" x14ac:dyDescent="0.2">
      <c r="A61" s="78"/>
      <c r="B61" s="136"/>
      <c r="C61" s="136"/>
      <c r="D61" s="137"/>
      <c r="E61" s="138"/>
      <c r="F61" s="82"/>
      <c r="G61" s="45"/>
      <c r="H61" s="93"/>
      <c r="I61" s="94"/>
      <c r="J61" s="32">
        <f t="shared" si="6"/>
        <v>0</v>
      </c>
      <c r="L61" s="12"/>
    </row>
    <row r="62" spans="1:12" s="1" customFormat="1" ht="12.75" customHeight="1" thickBot="1" x14ac:dyDescent="0.25">
      <c r="A62" s="80"/>
      <c r="B62" s="144"/>
      <c r="C62" s="144"/>
      <c r="D62" s="145"/>
      <c r="E62" s="146"/>
      <c r="F62" s="83"/>
      <c r="G62" s="46"/>
      <c r="H62" s="120"/>
      <c r="I62" s="121"/>
      <c r="J62" s="32">
        <f t="shared" si="6"/>
        <v>0</v>
      </c>
      <c r="L62" s="12"/>
    </row>
    <row r="63" spans="1:12" ht="14.1" customHeight="1" thickTop="1" x14ac:dyDescent="0.2">
      <c r="A63" s="31"/>
      <c r="B63" s="56" t="s">
        <v>105</v>
      </c>
      <c r="C63" s="56"/>
      <c r="D63" s="31"/>
      <c r="E63" s="31"/>
      <c r="F63" s="31"/>
      <c r="G63" s="124" t="s">
        <v>43</v>
      </c>
      <c r="H63" s="124"/>
      <c r="I63" s="125"/>
      <c r="J63" s="33">
        <f>SUM(J6:J18)+SUM(J20:J29)+SUM(J31:J33)+SUM(J35:J36)+SUM(J38)+SUM(J40)+SUM(J54:J56)+SUM(J58:J62)</f>
        <v>0</v>
      </c>
      <c r="L63" s="12"/>
    </row>
    <row r="64" spans="1:12" ht="14.1" customHeight="1" thickBot="1" x14ac:dyDescent="0.25">
      <c r="A64" s="9"/>
      <c r="B64" s="9"/>
      <c r="C64" s="9"/>
      <c r="D64" s="9"/>
      <c r="E64" s="9"/>
      <c r="F64" s="9"/>
      <c r="G64" s="15" t="s">
        <v>55</v>
      </c>
      <c r="H64" s="122">
        <v>0.21</v>
      </c>
      <c r="I64" s="123"/>
      <c r="J64" s="34">
        <f>J63*H64</f>
        <v>0</v>
      </c>
      <c r="L64" s="12"/>
    </row>
    <row r="65" spans="2:12" ht="14.1" customHeight="1" thickTop="1" thickBot="1" x14ac:dyDescent="0.25">
      <c r="B65" s="9"/>
      <c r="C65" s="9"/>
      <c r="D65" s="9"/>
      <c r="E65" s="9"/>
      <c r="F65" s="9"/>
      <c r="G65" s="15"/>
      <c r="H65" s="24"/>
      <c r="I65" s="24"/>
      <c r="J65" s="35"/>
      <c r="L65" s="12"/>
    </row>
    <row r="66" spans="2:12" ht="14.1" customHeight="1" thickTop="1" thickBot="1" x14ac:dyDescent="0.25">
      <c r="B66" s="9"/>
      <c r="C66" s="9"/>
      <c r="E66" s="25" t="s">
        <v>60</v>
      </c>
      <c r="F66" s="119"/>
      <c r="G66" s="119"/>
      <c r="H66" s="119"/>
      <c r="I66" s="26"/>
      <c r="J66" s="36">
        <f>J63+J64</f>
        <v>0</v>
      </c>
      <c r="L66" s="12"/>
    </row>
    <row r="67" spans="2:12" ht="13.5" thickBot="1" x14ac:dyDescent="0.25">
      <c r="J67" s="37"/>
      <c r="L67" s="11"/>
    </row>
    <row r="68" spans="2:12" ht="14.1" customHeight="1" thickTop="1" thickBot="1" x14ac:dyDescent="0.25">
      <c r="E68" s="10" t="s">
        <v>44</v>
      </c>
      <c r="F68" s="126"/>
      <c r="G68" s="126"/>
      <c r="H68" s="126"/>
      <c r="I68" s="29" t="s">
        <v>57</v>
      </c>
      <c r="J68" s="38"/>
      <c r="L68" s="11"/>
    </row>
    <row r="69" spans="2:12" ht="8.1" customHeight="1" thickTop="1" thickBot="1" x14ac:dyDescent="0.25">
      <c r="E69" s="10"/>
      <c r="F69" s="40"/>
      <c r="G69" s="41"/>
      <c r="H69" s="42"/>
      <c r="I69" s="30"/>
      <c r="J69" s="39"/>
      <c r="L69" s="11"/>
    </row>
    <row r="70" spans="2:12" ht="14.1" customHeight="1" thickTop="1" thickBot="1" x14ac:dyDescent="0.25">
      <c r="E70" s="10" t="s">
        <v>45</v>
      </c>
      <c r="F70" s="126"/>
      <c r="G70" s="126"/>
      <c r="H70" s="126"/>
      <c r="I70" s="29" t="s">
        <v>58</v>
      </c>
      <c r="J70" s="38"/>
      <c r="L70" s="11"/>
    </row>
    <row r="71" spans="2:12" ht="8.1" customHeight="1" thickTop="1" thickBot="1" x14ac:dyDescent="0.25">
      <c r="E71" s="10"/>
      <c r="F71" s="10"/>
      <c r="G71" s="18"/>
      <c r="H71" s="15"/>
      <c r="I71" s="30"/>
      <c r="J71" s="39"/>
      <c r="L71" s="11"/>
    </row>
    <row r="72" spans="2:12" ht="14.1" customHeight="1" thickTop="1" thickBot="1" x14ac:dyDescent="0.25">
      <c r="E72" s="10" t="s">
        <v>104</v>
      </c>
      <c r="F72" s="118"/>
      <c r="G72" s="119"/>
      <c r="H72" s="119"/>
      <c r="I72" s="29" t="s">
        <v>59</v>
      </c>
      <c r="J72" s="36">
        <f>J66+J68-J70</f>
        <v>0</v>
      </c>
      <c r="L72" s="11"/>
    </row>
    <row r="73" spans="2:12" ht="8.25" customHeight="1" x14ac:dyDescent="0.2">
      <c r="L73" s="11"/>
    </row>
    <row r="74" spans="2:12" x14ac:dyDescent="0.2">
      <c r="C74" s="58" t="s">
        <v>106</v>
      </c>
      <c r="H74" s="23"/>
      <c r="I74" s="23"/>
      <c r="J74" s="23"/>
      <c r="L74" s="11"/>
    </row>
    <row r="75" spans="2:12" ht="6.75" customHeight="1" x14ac:dyDescent="0.2">
      <c r="B75" s="9"/>
      <c r="C75" s="9"/>
      <c r="D75" s="22"/>
      <c r="E75" s="22"/>
      <c r="F75" s="23"/>
      <c r="G75" s="23"/>
      <c r="H75" s="23"/>
      <c r="I75" s="23"/>
      <c r="J75" s="23"/>
      <c r="L75" s="11"/>
    </row>
    <row r="76" spans="2:12" ht="13.5" customHeight="1" x14ac:dyDescent="0.2">
      <c r="B76" s="21"/>
      <c r="C76" s="60"/>
      <c r="D76" s="59" t="s">
        <v>107</v>
      </c>
      <c r="E76" s="54"/>
      <c r="F76" s="62" t="s">
        <v>108</v>
      </c>
      <c r="G76" s="62"/>
      <c r="H76" s="143"/>
      <c r="I76" s="143"/>
      <c r="J76" s="143"/>
      <c r="L76" s="11"/>
    </row>
    <row r="77" spans="2:12" ht="8.25" customHeight="1" x14ac:dyDescent="0.2">
      <c r="B77" s="16"/>
      <c r="C77" s="53"/>
      <c r="D77" s="16"/>
      <c r="E77" s="53"/>
      <c r="F77" s="16"/>
      <c r="G77" s="16"/>
      <c r="H77" s="16"/>
      <c r="I77" s="18"/>
      <c r="J77" s="16"/>
      <c r="L77" s="11"/>
    </row>
    <row r="78" spans="2:12" ht="13.5" customHeight="1" x14ac:dyDescent="0.2">
      <c r="B78" s="16"/>
      <c r="C78" s="61"/>
      <c r="D78" s="53" t="s">
        <v>109</v>
      </c>
      <c r="E78" s="53"/>
      <c r="F78" s="16"/>
      <c r="G78" s="16"/>
      <c r="H78" s="16"/>
      <c r="I78" s="18"/>
      <c r="J78" s="16"/>
      <c r="L78" s="11"/>
    </row>
    <row r="79" spans="2:12" ht="13.5" customHeight="1" x14ac:dyDescent="0.2">
      <c r="B79" s="84"/>
      <c r="C79" s="84"/>
      <c r="D79" s="84"/>
      <c r="E79" s="84"/>
      <c r="F79" s="84"/>
      <c r="G79" s="84"/>
      <c r="H79" s="84"/>
      <c r="I79" s="84"/>
      <c r="J79" s="84"/>
      <c r="L79" s="11"/>
    </row>
    <row r="80" spans="2:12" ht="13.5" customHeight="1" x14ac:dyDescent="0.2">
      <c r="B80" s="84"/>
      <c r="C80" s="84"/>
      <c r="D80" s="84"/>
      <c r="E80" s="84"/>
      <c r="F80" s="84"/>
      <c r="G80" s="84"/>
      <c r="H80" s="84"/>
      <c r="I80" s="84"/>
      <c r="J80" s="84"/>
      <c r="L80" s="11"/>
    </row>
    <row r="81" spans="2:12" ht="39.75" customHeight="1" x14ac:dyDescent="0.45">
      <c r="B81" s="16"/>
      <c r="C81" s="53"/>
      <c r="E81" s="51" t="s">
        <v>67</v>
      </c>
      <c r="H81" s="16"/>
      <c r="I81" s="18"/>
      <c r="J81" s="16"/>
      <c r="L81" s="11"/>
    </row>
    <row r="82" spans="2:12" x14ac:dyDescent="0.2">
      <c r="B82" s="16"/>
      <c r="C82" s="53"/>
      <c r="E82" s="52" t="s">
        <v>68</v>
      </c>
      <c r="F82" s="16"/>
      <c r="G82" s="16"/>
      <c r="H82" s="16"/>
      <c r="I82" s="18"/>
      <c r="J82" s="16"/>
      <c r="L82" s="11"/>
    </row>
    <row r="83" spans="2:12" x14ac:dyDescent="0.2">
      <c r="E83" s="52" t="s">
        <v>69</v>
      </c>
      <c r="L83" s="11"/>
    </row>
  </sheetData>
  <sheetProtection algorithmName="SHA-512" hashValue="CKsfacCVMrur7R+ExxrGcQpYB6vu7zeOMs06EIibVnV03f/ckqT0C37z9oyG2N2x+PjOKqBN6eWRpFKghHlJxg==" saltValue="Z5bE05KuIaib+W5CllhXAQ==" spinCount="100000" sheet="1" selectLockedCells="1"/>
  <mergeCells count="98">
    <mergeCell ref="C1:J1"/>
    <mergeCell ref="C2:D2"/>
    <mergeCell ref="H76:J76"/>
    <mergeCell ref="B60:E60"/>
    <mergeCell ref="B61:E61"/>
    <mergeCell ref="B62:E62"/>
    <mergeCell ref="A5:J5"/>
    <mergeCell ref="A19:J19"/>
    <mergeCell ref="A30:J30"/>
    <mergeCell ref="A34:J34"/>
    <mergeCell ref="A37:J37"/>
    <mergeCell ref="A39:J39"/>
    <mergeCell ref="A53:J53"/>
    <mergeCell ref="A57:J57"/>
    <mergeCell ref="B54:E54"/>
    <mergeCell ref="B55:E55"/>
    <mergeCell ref="B56:E56"/>
    <mergeCell ref="B58:E58"/>
    <mergeCell ref="B59:E59"/>
    <mergeCell ref="B21:E21"/>
    <mergeCell ref="B22:E22"/>
    <mergeCell ref="B23:E23"/>
    <mergeCell ref="B24:E24"/>
    <mergeCell ref="B25:E25"/>
    <mergeCell ref="B14:E14"/>
    <mergeCell ref="B15:E15"/>
    <mergeCell ref="B16:E16"/>
    <mergeCell ref="B17:E17"/>
    <mergeCell ref="B18:E18"/>
    <mergeCell ref="N35:O35"/>
    <mergeCell ref="H14:I14"/>
    <mergeCell ref="H15:I15"/>
    <mergeCell ref="H16:I16"/>
    <mergeCell ref="H21:I21"/>
    <mergeCell ref="H22:I22"/>
    <mergeCell ref="H23:I23"/>
    <mergeCell ref="H24:I24"/>
    <mergeCell ref="H25:I25"/>
    <mergeCell ref="H17:I17"/>
    <mergeCell ref="H18:I18"/>
    <mergeCell ref="B48:G48"/>
    <mergeCell ref="H20:I20"/>
    <mergeCell ref="H26:I26"/>
    <mergeCell ref="H27:I27"/>
    <mergeCell ref="H28:I28"/>
    <mergeCell ref="H29:I29"/>
    <mergeCell ref="H31:I31"/>
    <mergeCell ref="H32:I32"/>
    <mergeCell ref="H33:I33"/>
    <mergeCell ref="H38:I38"/>
    <mergeCell ref="H40:I40"/>
    <mergeCell ref="B20:E20"/>
    <mergeCell ref="F72:H72"/>
    <mergeCell ref="F66:H66"/>
    <mergeCell ref="H60:I60"/>
    <mergeCell ref="H61:I61"/>
    <mergeCell ref="H62:I62"/>
    <mergeCell ref="H64:I64"/>
    <mergeCell ref="G63:I63"/>
    <mergeCell ref="F68:H68"/>
    <mergeCell ref="F70:H70"/>
    <mergeCell ref="B41:G41"/>
    <mergeCell ref="B38:E38"/>
    <mergeCell ref="B40:E40"/>
    <mergeCell ref="H4:I4"/>
    <mergeCell ref="H6:I6"/>
    <mergeCell ref="H7:I7"/>
    <mergeCell ref="H8:I8"/>
    <mergeCell ref="H9:I9"/>
    <mergeCell ref="H13:I13"/>
    <mergeCell ref="H10:I10"/>
    <mergeCell ref="H11:I11"/>
    <mergeCell ref="H12:I12"/>
    <mergeCell ref="B10:E10"/>
    <mergeCell ref="B11:E11"/>
    <mergeCell ref="B12:E12"/>
    <mergeCell ref="B13:E13"/>
    <mergeCell ref="F2:J2"/>
    <mergeCell ref="H35:I35"/>
    <mergeCell ref="H36:I36"/>
    <mergeCell ref="B32:E32"/>
    <mergeCell ref="B33:E33"/>
    <mergeCell ref="B35:E35"/>
    <mergeCell ref="B36:E36"/>
    <mergeCell ref="B26:E26"/>
    <mergeCell ref="B27:E27"/>
    <mergeCell ref="B28:E28"/>
    <mergeCell ref="B29:E29"/>
    <mergeCell ref="B31:E31"/>
    <mergeCell ref="B4:E4"/>
    <mergeCell ref="B6:E6"/>
    <mergeCell ref="B8:E8"/>
    <mergeCell ref="B9:E9"/>
    <mergeCell ref="H54:I54"/>
    <mergeCell ref="H55:I55"/>
    <mergeCell ref="H56:I56"/>
    <mergeCell ref="H58:I58"/>
    <mergeCell ref="H59:I59"/>
  </mergeCells>
  <printOptions horizontalCentered="1"/>
  <pageMargins left="0.23622047244094491" right="0.23622047244094491" top="0.35433070866141736" bottom="0.35433070866141736" header="0.31496062992125984" footer="0.31496062992125984"/>
  <pageSetup paperSize="9" scale="83" fitToWidth="4" orientation="portrait" r:id="rId1"/>
  <headerFooter alignWithMargins="0">
    <oddFooter xml:space="preserve">&amp;L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 altText="">
                <anchor moveWithCells="1">
                  <from>
                    <xdr:col>2</xdr:col>
                    <xdr:colOff>9525</xdr:colOff>
                    <xdr:row>73</xdr:row>
                    <xdr:rowOff>152400</xdr:rowOff>
                  </from>
                  <to>
                    <xdr:col>2</xdr:col>
                    <xdr:colOff>276225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Check Box 13">
              <controlPr defaultSize="0" autoFill="0" autoLine="0" autoPict="0" altText="">
                <anchor moveWithCells="1">
                  <from>
                    <xdr:col>2</xdr:col>
                    <xdr:colOff>9525</xdr:colOff>
                    <xdr:row>76</xdr:row>
                    <xdr:rowOff>19050</xdr:rowOff>
                  </from>
                  <to>
                    <xdr:col>2</xdr:col>
                    <xdr:colOff>266700</xdr:colOff>
                    <xdr:row>78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2018 TARIFAS CANINAS </vt:lpstr>
      <vt:lpstr>'2018 TARIFAS CANINAS 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Moreno</dc:creator>
  <cp:lastModifiedBy>Francisco Moreno</cp:lastModifiedBy>
  <cp:lastPrinted>2018-02-27T12:17:57Z</cp:lastPrinted>
  <dcterms:created xsi:type="dcterms:W3CDTF">2010-06-07T09:58:26Z</dcterms:created>
  <dcterms:modified xsi:type="dcterms:W3CDTF">2018-02-27T16:58:13Z</dcterms:modified>
</cp:coreProperties>
</file>