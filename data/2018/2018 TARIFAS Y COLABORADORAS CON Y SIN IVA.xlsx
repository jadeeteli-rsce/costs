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arias\Desktop\Tarifas estudio\TARIFAS\2018\1.Tarifas (usuarios y socios)\"/>
    </mc:Choice>
  </mc:AlternateContent>
  <xr:revisionPtr revIDLastSave="0" documentId="13_ncr:1_{D55F95D2-E1C3-41B8-94B9-A0C2E78492A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RIFA 2017 v1 ajustada" sheetId="7" r:id="rId1"/>
  </sheets>
  <definedNames>
    <definedName name="_xlnm.Print_Titles" localSheetId="0">'TARIFA 2017 v1 ajustada'!$1:$3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6" i="7" l="1"/>
  <c r="G66" i="7"/>
  <c r="H66" i="7" s="1"/>
  <c r="K66" i="7" s="1"/>
  <c r="H74" i="7"/>
  <c r="G73" i="7" l="1"/>
  <c r="G72" i="7"/>
  <c r="G63" i="7"/>
  <c r="F73" i="7" l="1"/>
  <c r="F72" i="7"/>
  <c r="G71" i="7"/>
  <c r="F71" i="7"/>
  <c r="F63" i="7"/>
  <c r="J63" i="7" s="1"/>
  <c r="G69" i="7"/>
  <c r="F69" i="7"/>
  <c r="G68" i="7"/>
  <c r="H68" i="7" s="1"/>
  <c r="K68" i="7" s="1"/>
  <c r="F68" i="7"/>
  <c r="G67" i="7"/>
  <c r="H67" i="7" s="1"/>
  <c r="K67" i="7" s="1"/>
  <c r="F67" i="7"/>
  <c r="G65" i="7"/>
  <c r="F65" i="7"/>
  <c r="G62" i="7"/>
  <c r="F62" i="7"/>
  <c r="G61" i="7"/>
  <c r="F61" i="7"/>
  <c r="G60" i="7"/>
  <c r="F60" i="7"/>
  <c r="G59" i="7"/>
  <c r="F59" i="7"/>
  <c r="G57" i="7"/>
  <c r="F57" i="7"/>
  <c r="G56" i="7"/>
  <c r="F56" i="7"/>
  <c r="G55" i="7"/>
  <c r="F55" i="7"/>
  <c r="G54" i="7"/>
  <c r="F54" i="7"/>
  <c r="G53" i="7"/>
  <c r="F53" i="7"/>
  <c r="G52" i="7"/>
  <c r="F52" i="7"/>
  <c r="G51" i="7"/>
  <c r="F51" i="7"/>
  <c r="G49" i="7"/>
  <c r="H49" i="7" s="1"/>
  <c r="F49" i="7"/>
  <c r="G47" i="7"/>
  <c r="F47" i="7"/>
  <c r="G46" i="7"/>
  <c r="H46" i="7" s="1"/>
  <c r="D46" i="7" s="1"/>
  <c r="F46" i="7"/>
  <c r="G44" i="7"/>
  <c r="H44" i="7" s="1"/>
  <c r="D44" i="7" s="1"/>
  <c r="F44" i="7"/>
  <c r="G43" i="7"/>
  <c r="H43" i="7" s="1"/>
  <c r="D43" i="7" s="1"/>
  <c r="F43" i="7"/>
  <c r="G41" i="7"/>
  <c r="H41" i="7" s="1"/>
  <c r="D41" i="7" s="1"/>
  <c r="F41" i="7"/>
  <c r="G40" i="7"/>
  <c r="H40" i="7" s="1"/>
  <c r="D40" i="7" s="1"/>
  <c r="F40" i="7"/>
  <c r="G39" i="7"/>
  <c r="H39" i="7" s="1"/>
  <c r="D39" i="7" s="1"/>
  <c r="F39" i="7"/>
  <c r="G37" i="7"/>
  <c r="F37" i="7"/>
  <c r="G36" i="7"/>
  <c r="F36" i="7"/>
  <c r="G35" i="7"/>
  <c r="F35" i="7"/>
  <c r="G34" i="7"/>
  <c r="F34" i="7"/>
  <c r="F32" i="7"/>
  <c r="F31" i="7"/>
  <c r="G29" i="7"/>
  <c r="H29" i="7" s="1"/>
  <c r="D29" i="7" s="1"/>
  <c r="F29" i="7"/>
  <c r="G28" i="7"/>
  <c r="H28" i="7" s="1"/>
  <c r="D28" i="7" s="1"/>
  <c r="F28" i="7"/>
  <c r="G27" i="7"/>
  <c r="H27" i="7" s="1"/>
  <c r="D27" i="7" s="1"/>
  <c r="F27" i="7"/>
  <c r="G26" i="7"/>
  <c r="H26" i="7" s="1"/>
  <c r="D26" i="7" s="1"/>
  <c r="F26" i="7"/>
  <c r="G25" i="7"/>
  <c r="H25" i="7" s="1"/>
  <c r="D25" i="7" s="1"/>
  <c r="F25" i="7"/>
  <c r="G24" i="7"/>
  <c r="H24" i="7" s="1"/>
  <c r="D24" i="7" s="1"/>
  <c r="F24" i="7"/>
  <c r="G23" i="7"/>
  <c r="H23" i="7" s="1"/>
  <c r="D23" i="7" s="1"/>
  <c r="F23" i="7"/>
  <c r="G22" i="7"/>
  <c r="H22" i="7" s="1"/>
  <c r="D22" i="7" s="1"/>
  <c r="F22" i="7"/>
  <c r="G21" i="7"/>
  <c r="H21" i="7" s="1"/>
  <c r="D21" i="7" s="1"/>
  <c r="F21" i="7"/>
  <c r="G20" i="7"/>
  <c r="H20" i="7" s="1"/>
  <c r="D20" i="7" s="1"/>
  <c r="F20" i="7"/>
  <c r="G18" i="7"/>
  <c r="H18" i="7" s="1"/>
  <c r="D18" i="7" s="1"/>
  <c r="G17" i="7"/>
  <c r="H17" i="7" s="1"/>
  <c r="D17" i="7" s="1"/>
  <c r="G16" i="7"/>
  <c r="H16" i="7" s="1"/>
  <c r="D16" i="7" s="1"/>
  <c r="G15" i="7"/>
  <c r="H15" i="7" s="1"/>
  <c r="D15" i="7" s="1"/>
  <c r="G14" i="7"/>
  <c r="H14" i="7" s="1"/>
  <c r="D14" i="7" s="1"/>
  <c r="G13" i="7"/>
  <c r="H13" i="7" s="1"/>
  <c r="D13" i="7" s="1"/>
  <c r="G12" i="7"/>
  <c r="H12" i="7" s="1"/>
  <c r="D12" i="7" s="1"/>
  <c r="G11" i="7"/>
  <c r="H11" i="7" s="1"/>
  <c r="G10" i="7"/>
  <c r="H10" i="7" s="1"/>
  <c r="D10" i="7" s="1"/>
  <c r="G9" i="7"/>
  <c r="H9" i="7" s="1"/>
  <c r="D9" i="7" s="1"/>
  <c r="G8" i="7"/>
  <c r="H8" i="7" s="1"/>
  <c r="D8" i="7" s="1"/>
  <c r="G7" i="7"/>
  <c r="H7" i="7" s="1"/>
  <c r="D7" i="7" s="1"/>
  <c r="G6" i="7"/>
  <c r="H6" i="7" s="1"/>
  <c r="D6" i="7" s="1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K49" i="7" l="1"/>
  <c r="D49" i="7"/>
  <c r="K11" i="7"/>
  <c r="D11" i="7"/>
  <c r="J73" i="7"/>
  <c r="J72" i="7"/>
  <c r="J71" i="7"/>
  <c r="J68" i="7"/>
  <c r="J67" i="7"/>
  <c r="J66" i="7"/>
  <c r="J65" i="7"/>
  <c r="J62" i="7"/>
  <c r="J59" i="7"/>
  <c r="F77" i="7"/>
  <c r="F76" i="7"/>
  <c r="J61" i="7"/>
  <c r="J60" i="7"/>
  <c r="J54" i="7"/>
  <c r="J53" i="7"/>
  <c r="J49" i="7"/>
  <c r="K47" i="7"/>
  <c r="K46" i="7"/>
  <c r="J41" i="7"/>
  <c r="K40" i="7"/>
  <c r="K39" i="7"/>
  <c r="C32" i="7"/>
  <c r="G32" i="7" s="1"/>
  <c r="K29" i="7"/>
  <c r="K28" i="7"/>
  <c r="K27" i="7"/>
  <c r="K26" i="7"/>
  <c r="K25" i="7"/>
  <c r="K24" i="7"/>
  <c r="K22" i="7"/>
  <c r="K20" i="7"/>
  <c r="K16" i="7"/>
  <c r="K15" i="7"/>
  <c r="K13" i="7"/>
  <c r="K10" i="7"/>
  <c r="K7" i="7"/>
  <c r="J13" i="7" l="1"/>
  <c r="J35" i="7"/>
  <c r="J37" i="7"/>
  <c r="J7" i="7"/>
  <c r="J6" i="7"/>
  <c r="J9" i="7"/>
  <c r="J18" i="7"/>
  <c r="J32" i="7"/>
  <c r="J36" i="7"/>
  <c r="J52" i="7"/>
  <c r="J44" i="7"/>
  <c r="K17" i="7"/>
  <c r="J8" i="7"/>
  <c r="K9" i="7"/>
  <c r="J14" i="7"/>
  <c r="J17" i="7"/>
  <c r="J21" i="7"/>
  <c r="J26" i="7"/>
  <c r="J34" i="7"/>
  <c r="J27" i="7"/>
  <c r="J16" i="7"/>
  <c r="J43" i="7"/>
  <c r="J55" i="7"/>
  <c r="J12" i="7"/>
  <c r="J22" i="7"/>
  <c r="K43" i="7"/>
  <c r="K8" i="7"/>
  <c r="J11" i="7"/>
  <c r="K12" i="7"/>
  <c r="J15" i="7"/>
  <c r="J20" i="7"/>
  <c r="K21" i="7"/>
  <c r="J25" i="7"/>
  <c r="J29" i="7"/>
  <c r="J40" i="7"/>
  <c r="K41" i="7"/>
  <c r="J10" i="7"/>
  <c r="J24" i="7"/>
  <c r="J28" i="7"/>
  <c r="J39" i="7"/>
  <c r="C31" i="7"/>
  <c r="K6" i="7"/>
  <c r="K14" i="7"/>
  <c r="K18" i="7"/>
  <c r="K44" i="7"/>
  <c r="J56" i="7"/>
  <c r="J51" i="7"/>
  <c r="J57" i="7"/>
  <c r="J69" i="7"/>
  <c r="G31" i="7" l="1"/>
  <c r="J31" i="7" s="1"/>
  <c r="J46" i="7"/>
  <c r="J47" i="7"/>
  <c r="K32" i="7" l="1"/>
  <c r="K31" i="7" l="1"/>
</calcChain>
</file>

<file path=xl/sharedStrings.xml><?xml version="1.0" encoding="utf-8"?>
<sst xmlns="http://schemas.openxmlformats.org/spreadsheetml/2006/main" count="87" uniqueCount="79">
  <si>
    <t>Socios</t>
  </si>
  <si>
    <t>PEDIGREES Y TRANSFERENCIAS DE PROPIEDAD</t>
  </si>
  <si>
    <r>
      <t xml:space="preserve">PEDIGREE </t>
    </r>
    <r>
      <rPr>
        <b/>
        <sz val="8"/>
        <color theme="1"/>
        <rFont val="Calibri"/>
        <family val="2"/>
      </rPr>
      <t>CON</t>
    </r>
    <r>
      <rPr>
        <sz val="8"/>
        <color theme="1"/>
        <rFont val="Calibri"/>
        <family val="2"/>
      </rPr>
      <t xml:space="preserve"> TRANSFERENCIA TRES GENERACIONES</t>
    </r>
  </si>
  <si>
    <r>
      <t xml:space="preserve">PEDIGREE </t>
    </r>
    <r>
      <rPr>
        <b/>
        <sz val="8"/>
        <color theme="1"/>
        <rFont val="Calibri"/>
        <family val="2"/>
      </rPr>
      <t>CON</t>
    </r>
    <r>
      <rPr>
        <sz val="8"/>
        <color theme="1"/>
        <rFont val="Calibri"/>
        <family val="2"/>
      </rPr>
      <t xml:space="preserve"> TRANSFERENCIA CUATRO GENERACIONES (si la genealogía consta en la base de datos del L.O.E.)</t>
    </r>
  </si>
  <si>
    <t>PEDIGREE PARA PERROS INSCRITOS EN EL R.R.C. (sin genealógica completa)</t>
  </si>
  <si>
    <t>PEDIGREE DE EXPORTACIÓN TRES GENERACIONES</t>
  </si>
  <si>
    <t>PEDIGREE DE EXPORTACIÓN CUATRO GENERACIONES (si la genealogía consta en la base de datos del L.O.E.)</t>
  </si>
  <si>
    <r>
      <t xml:space="preserve">PEDIGREE </t>
    </r>
    <r>
      <rPr>
        <b/>
        <sz val="8"/>
        <color theme="1"/>
        <rFont val="Calibri"/>
        <family val="2"/>
      </rPr>
      <t>SIN</t>
    </r>
    <r>
      <rPr>
        <sz val="8"/>
        <color theme="1"/>
        <rFont val="Calibri"/>
        <family val="2"/>
      </rPr>
      <t xml:space="preserve"> TRANSFERENCIA</t>
    </r>
  </si>
  <si>
    <r>
      <t xml:space="preserve">PEDIGREE </t>
    </r>
    <r>
      <rPr>
        <b/>
        <sz val="8"/>
        <color theme="1"/>
        <rFont val="Calibri"/>
        <family val="2"/>
      </rPr>
      <t>SIN</t>
    </r>
    <r>
      <rPr>
        <sz val="8"/>
        <color theme="1"/>
        <rFont val="Calibri"/>
        <family val="2"/>
      </rPr>
      <t xml:space="preserve"> TRANSFERENCIA CUATRO GENERACIONES (si la genealogía consta en la base de datos del L.O.E.)</t>
    </r>
  </si>
  <si>
    <t>DUPLICADO DE PEDIGREE TRES GENERACIONES</t>
  </si>
  <si>
    <t>DUPLICADO DE PEDIGREE CUATRO GENERACIONES</t>
  </si>
  <si>
    <t>DUPLICADO EXPORT PEDIGREE TRES GENERACIONES</t>
  </si>
  <si>
    <t>DUPLICADO EXPORT PEDIGREE CUATRO GENERACIONES</t>
  </si>
  <si>
    <t>TRANSFERENCIA DE PROPIEDAD EN PEDIGREE, REGISTRO INICIAL O PERRO IMPORTADO</t>
  </si>
  <si>
    <t>CESIÓN TEMPORAL DE PROPIEDAD DE LOS REPRODUCTORES</t>
  </si>
  <si>
    <t>INSCRIPCIONES EN EL L.O.E. / R.R.C.</t>
  </si>
  <si>
    <t>INSCRIPCIÓN IMPORTADOS</t>
  </si>
  <si>
    <t>INSCRIPCIÓN CACHORRO</t>
  </si>
  <si>
    <t>RECARGO 100% EN INSCRIPCIÓN CACHORRO (más de 6 meses y menos de 9 meses de edad) Art. 6.13 Reglamento L.O.E.</t>
  </si>
  <si>
    <t>RECARGO 200% EN INSCRIPCIÓN CACHORRO (más de 9 meses y menos de 12 meses de edad) Art. 6.13 Reglamento L.O.E.</t>
  </si>
  <si>
    <t>RECARGO 300% EN INSCRIPCIÓN CACHORRO (más de 12 meses y menos de 18 meses de edad) Art. 6.13 Reglamento L.O.E.</t>
  </si>
  <si>
    <t>DUPLICADO JUSTIFICANTE DE INSCRIPCIÓN</t>
  </si>
  <si>
    <t>BAJA DE UN PERRO EN EL L.O.E./R.R.C. (para su posterior inscripción de otros libros genealógicos)</t>
  </si>
  <si>
    <t>IDENTIFICACIÓN GENÉTICA</t>
  </si>
  <si>
    <t>ANALÍTICA IDENTIFICACIÓN GENÉTICA CANINA A.D.N. / PRUEBAS DE PATERNIDAD (por perro) / SANGRE</t>
  </si>
  <si>
    <t>ANALÍTICA IDENTIFICACIÓN GENÉTICA CANINA A.D.N. / PRUEBAS DE PATERNIDAD (por perro) / SALIVA</t>
  </si>
  <si>
    <t>DISPLASIA</t>
  </si>
  <si>
    <t>TRAMITACIÓN VALORACIÓN DEL GRADO DE DISPLASIA DE CODOS</t>
  </si>
  <si>
    <t>TRAMITACIÓN VALORACIÓN DEL GRADO DE DISPLASIA DE CADERA</t>
  </si>
  <si>
    <t>RECURSO AL DIAGNOSTICO DE DISPLASIA</t>
  </si>
  <si>
    <t>CERTIFICADO INTERNACIONAL DE DISPLASIA</t>
  </si>
  <si>
    <r>
      <t xml:space="preserve">INSCRIPCIÓN PERROS DE OTROS LIBROS GENEALÓGICOS - </t>
    </r>
    <r>
      <rPr>
        <b/>
        <sz val="8"/>
        <color theme="1"/>
        <rFont val="Calibri"/>
        <family val="2"/>
      </rPr>
      <t>ESTE TRÁMITE NO ADMITE PLUS DE URGENCIA</t>
    </r>
  </si>
  <si>
    <t>SIN I.V.A.</t>
  </si>
  <si>
    <t>Colaboradoras</t>
  </si>
  <si>
    <t>FORMULARIO IDENTIFICACIÓN (por cachorro al notificar nacimiento) EN ORIGEN</t>
  </si>
  <si>
    <t>FORMULARIO IDENTIFICACIÓN (por cachorro al notificar nacimiento) RSCE</t>
  </si>
  <si>
    <t>AFIJOS</t>
  </si>
  <si>
    <t>SOLICITUD AFIJO</t>
  </si>
  <si>
    <t>RECTIFICACION AFIJO</t>
  </si>
  <si>
    <t>DUPLICADO AFIJO</t>
  </si>
  <si>
    <t>REGISTRO INICIAL DE RAZA</t>
  </si>
  <si>
    <t>CONFIRMACION DE RAZA (perros de razas españolas)</t>
  </si>
  <si>
    <t>IMPRESO ALTA CAMADA</t>
  </si>
  <si>
    <t>INFORMES SOLICITADOS A LA RSCE (precio por folio impreso</t>
  </si>
  <si>
    <t>REGISTROS INICIALES Y CONFIRMACIONES DE RAZA</t>
  </si>
  <si>
    <t>IMPRESOS</t>
  </si>
  <si>
    <t>Usuario</t>
  </si>
  <si>
    <t>PLUS POR TRAMITACIÓN URGENTE DE CAMADAS, PEDIGREES Y PEDIGREES DE EXPORTACIÓN</t>
  </si>
  <si>
    <t>PLUS TRAMITACIÓN URGENTE</t>
  </si>
  <si>
    <t>TRABAJO (IPO / OBEDIENCIA / MONDIORING )</t>
  </si>
  <si>
    <t>LICENCIA INICIAL</t>
  </si>
  <si>
    <t>CUOTA ANUAL GRUPO DE TRABAJO</t>
  </si>
  <si>
    <t>CERTIFICADO DE TRABAJO</t>
  </si>
  <si>
    <t>CARTILLA DE ASISTENTE</t>
  </si>
  <si>
    <t>AGILITY</t>
  </si>
  <si>
    <t>RENOVACIÓN ANUAL LICIENCIA</t>
  </si>
  <si>
    <t>CUOTA ANUAL CLUB DE AGILITY</t>
  </si>
  <si>
    <t>MUESTRA, RASTRO Y MADRIGUERA</t>
  </si>
  <si>
    <t>IMPRESO PARA PRUEBAS CACT - CACIT</t>
  </si>
  <si>
    <t>IMPRESO DIPLOMA DE INICIACIÓN (original y 3 copias)</t>
  </si>
  <si>
    <t>IMPRESO PRUEBAS APTITUDES NATURALES (original y 3 copias)</t>
  </si>
  <si>
    <t>SOCIOS</t>
  </si>
  <si>
    <t>CUOTA ANUAL SOCIO</t>
  </si>
  <si>
    <t xml:space="preserve">AUMENTO RESPECTO SOCIOS </t>
  </si>
  <si>
    <t>CUOTA ANUAL MULTIDISCIPLINAR</t>
  </si>
  <si>
    <t>CARTILLA DE PRUEBAS DEPORTIVAS DE TRABAJO</t>
  </si>
  <si>
    <t>CARTILLA DE PRUEBAS DEPORTIVAS DE AGILITY</t>
  </si>
  <si>
    <t>CARTILLA DE PRUEBAS DEPORTIVAS DE  CAZA</t>
  </si>
  <si>
    <t>CARTILLA PARA PRUEBAS DEPORTIVAS POLIVALENTES - PERRO DE AGUA ESPAÑOL</t>
  </si>
  <si>
    <t>CUOTA INICIAL SOCIO, incluida la cuota del primer año natural (260 + 30)</t>
  </si>
  <si>
    <t>OTROS SERVICIOS</t>
  </si>
  <si>
    <t>EXPEDICIÓN TITULOS DE CAMPEONES</t>
  </si>
  <si>
    <t>TRAMITACION TITULOS FCI</t>
  </si>
  <si>
    <t>3ª MEDICION EJEMPLARES PARA DETERMINAR CATEGORIA DE PARTICIPACIÓN (según reglamento)</t>
  </si>
  <si>
    <t>CERTIFICADO DE TRABAJO PERROS DE MUESTRA, RASTRO Y MADRIGUERA</t>
  </si>
  <si>
    <t xml:space="preserve">TASA CESIÓN PUESTA EN JUEGO CAC </t>
  </si>
  <si>
    <t xml:space="preserve">VARIACION RESPECTO USUARIO </t>
  </si>
  <si>
    <t xml:space="preserve">VARIACION RESPECTO SOCIOS </t>
  </si>
  <si>
    <t>CON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</si>
</sst>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8"/>
      <color theme="0" tint="-0.34998626667073579"/>
      <name val="Calibri"/>
      <family val="2"/>
    </font>
    <font>
      <sz val="7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 style="medium">
        <color rgb="FF00000A"/>
      </right>
      <top/>
      <bottom style="medium">
        <color rgb="FF00000A"/>
      </bottom>
      <diagonal/>
    </border>
    <border>
      <left/>
      <right style="medium">
        <color rgb="FF00000A"/>
      </right>
      <top style="medium">
        <color rgb="FF00000A"/>
      </top>
      <bottom style="medium">
        <color rgb="FF00000A"/>
      </bottom>
      <diagonal/>
    </border>
    <border>
      <left style="medium">
        <color rgb="FF00000A"/>
      </left>
      <right/>
      <top style="medium">
        <color rgb="FF00000A"/>
      </top>
      <bottom style="medium">
        <color rgb="FF00000A"/>
      </bottom>
      <diagonal/>
    </border>
    <border>
      <left/>
      <right/>
      <top style="medium">
        <color rgb="FF00000A"/>
      </top>
      <bottom style="medium">
        <color rgb="FF00000A"/>
      </bottom>
      <diagonal/>
    </border>
    <border>
      <left style="medium">
        <color rgb="FF00000A"/>
      </left>
      <right style="medium">
        <color rgb="FF00000A"/>
      </right>
      <top style="medium">
        <color rgb="FF00000A"/>
      </top>
      <bottom style="medium">
        <color rgb="FF00000A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A"/>
      </right>
      <top style="medium">
        <color indexed="64"/>
      </top>
      <bottom style="medium">
        <color rgb="FF00000A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A"/>
      </bottom>
      <diagonal/>
    </border>
    <border>
      <left style="medium">
        <color indexed="64"/>
      </left>
      <right style="medium">
        <color rgb="FF00000A"/>
      </right>
      <top/>
      <bottom style="medium">
        <color rgb="FF00000A"/>
      </bottom>
      <diagonal/>
    </border>
    <border>
      <left/>
      <right style="medium">
        <color indexed="64"/>
      </right>
      <top/>
      <bottom style="medium">
        <color rgb="FF00000A"/>
      </bottom>
      <diagonal/>
    </border>
    <border>
      <left style="medium">
        <color indexed="64"/>
      </left>
      <right style="medium">
        <color rgb="FF00000A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A"/>
      </left>
      <right/>
      <top/>
      <bottom/>
      <diagonal/>
    </border>
    <border>
      <left style="medium">
        <color rgb="FF00000A"/>
      </left>
      <right/>
      <top/>
      <bottom style="medium">
        <color rgb="FF00000A"/>
      </bottom>
      <diagonal/>
    </border>
    <border>
      <left/>
      <right/>
      <top/>
      <bottom style="medium">
        <color rgb="FF00000A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5" xfId="0" applyFont="1" applyBorder="1" applyAlignment="1">
      <alignment vertical="center" wrapText="1"/>
    </xf>
    <xf numFmtId="10" fontId="5" fillId="0" borderId="0" xfId="0" applyNumberFormat="1" applyFont="1"/>
    <xf numFmtId="3" fontId="6" fillId="0" borderId="13" xfId="0" applyNumberFormat="1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4" fontId="3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4" fontId="3" fillId="0" borderId="5" xfId="0" applyNumberFormat="1" applyFont="1" applyBorder="1" applyAlignment="1">
      <alignment vertical="center" wrapText="1"/>
    </xf>
    <xf numFmtId="4" fontId="3" fillId="0" borderId="6" xfId="0" applyNumberFormat="1" applyFont="1" applyBorder="1" applyAlignment="1">
      <alignment vertical="center" wrapText="1"/>
    </xf>
    <xf numFmtId="0" fontId="0" fillId="0" borderId="0" xfId="0" applyAlignment="1">
      <alignment horizontal="right"/>
    </xf>
    <xf numFmtId="4" fontId="7" fillId="3" borderId="5" xfId="0" applyNumberFormat="1" applyFont="1" applyFill="1" applyBorder="1" applyAlignment="1">
      <alignment vertical="center" wrapText="1"/>
    </xf>
    <xf numFmtId="4" fontId="3" fillId="3" borderId="6" xfId="0" applyNumberFormat="1" applyFont="1" applyFill="1" applyBorder="1" applyAlignment="1">
      <alignment vertical="center" wrapText="1"/>
    </xf>
    <xf numFmtId="4" fontId="3" fillId="2" borderId="5" xfId="0" applyNumberFormat="1" applyFont="1" applyFill="1" applyBorder="1" applyAlignment="1">
      <alignment vertical="center" wrapText="1"/>
    </xf>
    <xf numFmtId="4" fontId="3" fillId="2" borderId="6" xfId="0" applyNumberFormat="1" applyFont="1" applyFill="1" applyBorder="1" applyAlignment="1">
      <alignment vertical="center" wrapText="1"/>
    </xf>
    <xf numFmtId="4" fontId="3" fillId="2" borderId="5" xfId="0" applyNumberFormat="1" applyFont="1" applyFill="1" applyBorder="1" applyAlignment="1">
      <alignment horizontal="right" vertical="center" wrapText="1"/>
    </xf>
    <xf numFmtId="4" fontId="3" fillId="3" borderId="5" xfId="0" applyNumberFormat="1" applyFont="1" applyFill="1" applyBorder="1" applyAlignment="1">
      <alignment vertical="center" wrapText="1"/>
    </xf>
    <xf numFmtId="4" fontId="3" fillId="2" borderId="7" xfId="0" applyNumberFormat="1" applyFont="1" applyFill="1" applyBorder="1" applyAlignment="1">
      <alignment vertical="center" wrapText="1"/>
    </xf>
    <xf numFmtId="4" fontId="3" fillId="2" borderId="8" xfId="0" applyNumberFormat="1" applyFont="1" applyFill="1" applyBorder="1" applyAlignment="1">
      <alignment vertical="center" wrapText="1"/>
    </xf>
    <xf numFmtId="4" fontId="3" fillId="2" borderId="9" xfId="0" applyNumberFormat="1" applyFont="1" applyFill="1" applyBorder="1" applyAlignment="1">
      <alignment vertical="center" wrapText="1"/>
    </xf>
    <xf numFmtId="4" fontId="3" fillId="2" borderId="10" xfId="0" applyNumberFormat="1" applyFont="1" applyFill="1" applyBorder="1" applyAlignment="1">
      <alignment vertical="center" wrapText="1"/>
    </xf>
    <xf numFmtId="4" fontId="3" fillId="2" borderId="11" xfId="0" applyNumberFormat="1" applyFont="1" applyFill="1" applyBorder="1" applyAlignment="1">
      <alignment vertical="center" wrapText="1"/>
    </xf>
    <xf numFmtId="4" fontId="3" fillId="2" borderId="12" xfId="0" applyNumberFormat="1" applyFont="1" applyFill="1" applyBorder="1" applyAlignment="1">
      <alignment vertical="center" wrapText="1"/>
    </xf>
    <xf numFmtId="4" fontId="3" fillId="3" borderId="1" xfId="0" applyNumberFormat="1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horizontal="center" wrapText="1"/>
    </xf>
    <xf numFmtId="10" fontId="5" fillId="3" borderId="0" xfId="0" applyNumberFormat="1" applyFont="1" applyFill="1"/>
    <xf numFmtId="10" fontId="2" fillId="0" borderId="0" xfId="0" applyNumberFormat="1" applyFont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right" vertical="center" wrapText="1"/>
    </xf>
    <xf numFmtId="4" fontId="3" fillId="0" borderId="1" xfId="0" applyNumberFormat="1" applyFont="1" applyBorder="1" applyAlignment="1">
      <alignment vertical="center" wrapText="1"/>
    </xf>
    <xf numFmtId="0" fontId="0" fillId="4" borderId="0" xfId="0" applyFill="1"/>
    <xf numFmtId="0" fontId="11" fillId="0" borderId="0" xfId="0" applyFont="1"/>
    <xf numFmtId="10" fontId="11" fillId="0" borderId="0" xfId="0" applyNumberFormat="1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5" fillId="0" borderId="0" xfId="0" applyNumberFormat="1" applyFont="1" applyAlignment="1">
      <alignment horizontal="center"/>
    </xf>
    <xf numFmtId="4" fontId="3" fillId="5" borderId="5" xfId="0" applyNumberFormat="1" applyFont="1" applyFill="1" applyBorder="1" applyAlignment="1">
      <alignment vertical="center" wrapText="1"/>
    </xf>
    <xf numFmtId="4" fontId="3" fillId="3" borderId="5" xfId="0" applyNumberFormat="1" applyFont="1" applyFill="1" applyBorder="1" applyAlignment="1">
      <alignment horizontal="right" vertical="center" wrapText="1"/>
    </xf>
    <xf numFmtId="4" fontId="0" fillId="0" borderId="0" xfId="0" applyNumberFormat="1"/>
    <xf numFmtId="0" fontId="2" fillId="4" borderId="3" xfId="0" applyFont="1" applyFill="1" applyBorder="1" applyAlignment="1">
      <alignment horizontal="center" vertical="center" wrapText="1"/>
    </xf>
    <xf numFmtId="0" fontId="0" fillId="4" borderId="4" xfId="0" applyFill="1" applyBorder="1"/>
    <xf numFmtId="0" fontId="9" fillId="0" borderId="0" xfId="0" applyFont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4" borderId="14" xfId="0" applyFont="1" applyFill="1" applyBorder="1" applyAlignment="1">
      <alignment horizontal="center" vertical="center" wrapText="1"/>
    </xf>
    <xf numFmtId="0" fontId="0" fillId="4" borderId="15" xfId="0" applyFill="1" applyBorder="1"/>
    <xf numFmtId="0" fontId="10" fillId="0" borderId="0" xfId="0" applyFon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7"/>
  <sheetViews>
    <sheetView tabSelected="1" workbookViewId="0">
      <selection activeCell="C4" sqref="C4"/>
    </sheetView>
  </sheetViews>
  <sheetFormatPr baseColWidth="10" defaultRowHeight="15" x14ac:dyDescent="0.25"/>
  <cols>
    <col min="1" max="1" width="81.28515625" customWidth="1"/>
    <col min="2" max="2" width="7.85546875" customWidth="1"/>
    <col min="3" max="3" width="8.7109375" customWidth="1"/>
    <col min="4" max="4" width="12" customWidth="1"/>
    <col min="5" max="5" width="2.28515625" customWidth="1"/>
    <col min="6" max="6" width="7.85546875" customWidth="1"/>
    <col min="7" max="7" width="8.42578125" customWidth="1"/>
    <col min="8" max="8" width="11.42578125" customWidth="1"/>
    <col min="9" max="9" width="4.7109375" customWidth="1"/>
    <col min="10" max="10" width="8.5703125" hidden="1" customWidth="1"/>
    <col min="11" max="11" width="11.5703125" customWidth="1"/>
  </cols>
  <sheetData>
    <row r="1" spans="1:14" x14ac:dyDescent="0.25">
      <c r="A1" s="42">
        <v>2018</v>
      </c>
      <c r="B1" s="48" t="s">
        <v>78</v>
      </c>
      <c r="C1" s="48"/>
      <c r="D1" s="48"/>
      <c r="F1" s="44" t="s">
        <v>32</v>
      </c>
      <c r="G1" s="45"/>
      <c r="H1" s="45"/>
    </row>
    <row r="2" spans="1:14" ht="15.75" thickBot="1" x14ac:dyDescent="0.3">
      <c r="A2" s="42"/>
      <c r="B2" s="49"/>
      <c r="C2" s="49"/>
      <c r="D2" s="49"/>
      <c r="F2" s="34"/>
      <c r="G2" s="36">
        <v>0.21</v>
      </c>
      <c r="H2" s="35"/>
    </row>
    <row r="3" spans="1:14" ht="15.75" thickBot="1" x14ac:dyDescent="0.3">
      <c r="A3" s="43"/>
      <c r="B3" s="50" t="s">
        <v>0</v>
      </c>
      <c r="C3" s="51" t="s">
        <v>46</v>
      </c>
      <c r="D3" s="50" t="s">
        <v>33</v>
      </c>
      <c r="F3" s="52" t="s">
        <v>0</v>
      </c>
      <c r="G3" s="51" t="s">
        <v>46</v>
      </c>
      <c r="H3" s="50" t="s">
        <v>33</v>
      </c>
      <c r="I3" s="6"/>
      <c r="J3" s="4" t="s">
        <v>46</v>
      </c>
      <c r="K3" s="4" t="s">
        <v>33</v>
      </c>
      <c r="L3" s="4" t="s">
        <v>33</v>
      </c>
    </row>
    <row r="4" spans="1:14" ht="36.75" customHeight="1" x14ac:dyDescent="0.25">
      <c r="A4" s="23"/>
      <c r="B4" s="6"/>
      <c r="C4" s="26"/>
      <c r="D4" s="26"/>
      <c r="F4" s="6"/>
      <c r="G4" s="6"/>
      <c r="H4" s="6"/>
      <c r="J4" s="24" t="s">
        <v>63</v>
      </c>
      <c r="K4" s="24" t="s">
        <v>77</v>
      </c>
      <c r="L4" s="24" t="s">
        <v>76</v>
      </c>
    </row>
    <row r="5" spans="1:14" ht="20.100000000000001" customHeight="1" thickBot="1" x14ac:dyDescent="0.3">
      <c r="A5" s="46" t="s">
        <v>1</v>
      </c>
      <c r="B5" s="47"/>
      <c r="C5" s="47"/>
      <c r="D5" s="47"/>
      <c r="E5" s="31"/>
      <c r="F5" s="31"/>
      <c r="G5" s="31"/>
      <c r="H5" s="31"/>
      <c r="I5" s="5"/>
      <c r="J5" s="24"/>
      <c r="K5" s="24"/>
    </row>
    <row r="6" spans="1:14" ht="20.100000000000001" customHeight="1" thickBot="1" x14ac:dyDescent="0.3">
      <c r="A6" s="1" t="s">
        <v>2</v>
      </c>
      <c r="B6" s="7">
        <v>29.3</v>
      </c>
      <c r="C6" s="7">
        <v>43.2</v>
      </c>
      <c r="D6" s="12">
        <f>H6*(1+$G$2)</f>
        <v>25.056000000000004</v>
      </c>
      <c r="E6" s="32"/>
      <c r="F6" s="13">
        <f>B6/(1+$G$2)</f>
        <v>24.214876033057852</v>
      </c>
      <c r="G6" s="13">
        <f>C6/(1+$G$2)</f>
        <v>35.702479338842977</v>
      </c>
      <c r="H6" s="8">
        <f>G6*(1+L6)</f>
        <v>20.707438016528929</v>
      </c>
      <c r="I6" s="5"/>
      <c r="J6" s="33">
        <f>(G6/F6)-1</f>
        <v>0.47440273037542657</v>
      </c>
      <c r="K6" s="33">
        <f>(H6/F6)-1</f>
        <v>-0.14484641638225249</v>
      </c>
      <c r="L6" s="33">
        <v>-0.42</v>
      </c>
      <c r="N6" s="39"/>
    </row>
    <row r="7" spans="1:14" ht="20.100000000000001" customHeight="1" thickBot="1" x14ac:dyDescent="0.3">
      <c r="A7" s="1" t="s">
        <v>3</v>
      </c>
      <c r="B7" s="7">
        <v>33.1</v>
      </c>
      <c r="C7" s="7">
        <v>48.7</v>
      </c>
      <c r="D7" s="12">
        <f t="shared" ref="D7:D29" si="0">H7*(1+$G$2)</f>
        <v>28.270350000000004</v>
      </c>
      <c r="E7" s="32"/>
      <c r="F7" s="13">
        <f t="shared" ref="F7:F18" si="1">B7/(1+$G$2)</f>
        <v>27.355371900826448</v>
      </c>
      <c r="G7" s="13">
        <f t="shared" ref="G7:G18" si="2">C7/(1+$G$2)</f>
        <v>40.247933884297524</v>
      </c>
      <c r="H7" s="8">
        <f t="shared" ref="H7:H29" si="3">G7*(1+L7)</f>
        <v>23.363925619834713</v>
      </c>
      <c r="I7" s="5"/>
      <c r="J7" s="33">
        <f t="shared" ref="J7:J18" si="4">(G7/F7)-1</f>
        <v>0.4712990936555892</v>
      </c>
      <c r="K7" s="33">
        <f t="shared" ref="K7:K18" si="5">(H7/F7)-1</f>
        <v>-0.14591087613293052</v>
      </c>
      <c r="L7" s="33">
        <v>-0.41949999999999998</v>
      </c>
      <c r="N7" s="39"/>
    </row>
    <row r="8" spans="1:14" ht="20.100000000000001" customHeight="1" thickBot="1" x14ac:dyDescent="0.3">
      <c r="A8" s="1" t="s">
        <v>4</v>
      </c>
      <c r="B8" s="7">
        <v>17</v>
      </c>
      <c r="C8" s="7">
        <v>25</v>
      </c>
      <c r="D8" s="12">
        <f t="shared" si="0"/>
        <v>14.502500000000003</v>
      </c>
      <c r="E8" s="32"/>
      <c r="F8" s="13">
        <f t="shared" si="1"/>
        <v>14.049586776859504</v>
      </c>
      <c r="G8" s="13">
        <f t="shared" si="2"/>
        <v>20.66115702479339</v>
      </c>
      <c r="H8" s="8">
        <f t="shared" si="3"/>
        <v>11.985537190082647</v>
      </c>
      <c r="I8" s="5"/>
      <c r="J8" s="33">
        <f t="shared" si="4"/>
        <v>0.47058823529411775</v>
      </c>
      <c r="K8" s="33">
        <f t="shared" si="5"/>
        <v>-0.14691176470588219</v>
      </c>
      <c r="L8" s="33">
        <v>-0.4199</v>
      </c>
      <c r="N8" s="39"/>
    </row>
    <row r="9" spans="1:14" ht="20.100000000000001" customHeight="1" thickBot="1" x14ac:dyDescent="0.3">
      <c r="A9" s="1" t="s">
        <v>5</v>
      </c>
      <c r="B9" s="7">
        <v>56.5</v>
      </c>
      <c r="C9" s="7">
        <v>56.5</v>
      </c>
      <c r="D9" s="12">
        <f t="shared" si="0"/>
        <v>38.052749999999996</v>
      </c>
      <c r="E9" s="32"/>
      <c r="F9" s="13">
        <f t="shared" si="1"/>
        <v>46.694214876033058</v>
      </c>
      <c r="G9" s="13">
        <f t="shared" si="2"/>
        <v>46.694214876033058</v>
      </c>
      <c r="H9" s="8">
        <f t="shared" si="3"/>
        <v>31.448553719008263</v>
      </c>
      <c r="I9" s="5"/>
      <c r="J9" s="33">
        <f t="shared" si="4"/>
        <v>0</v>
      </c>
      <c r="K9" s="33">
        <f t="shared" si="5"/>
        <v>-0.32650000000000001</v>
      </c>
      <c r="L9" s="33">
        <v>-0.32650000000000001</v>
      </c>
      <c r="N9" s="39"/>
    </row>
    <row r="10" spans="1:14" ht="20.100000000000001" customHeight="1" thickBot="1" x14ac:dyDescent="0.3">
      <c r="A10" s="1" t="s">
        <v>6</v>
      </c>
      <c r="B10" s="7">
        <v>62.1</v>
      </c>
      <c r="C10" s="7">
        <v>62.1</v>
      </c>
      <c r="D10" s="12">
        <f t="shared" si="0"/>
        <v>41.582160000000002</v>
      </c>
      <c r="E10" s="32"/>
      <c r="F10" s="13">
        <f t="shared" si="1"/>
        <v>51.32231404958678</v>
      </c>
      <c r="G10" s="13">
        <f t="shared" si="2"/>
        <v>51.32231404958678</v>
      </c>
      <c r="H10" s="8">
        <f t="shared" si="3"/>
        <v>34.365421487603307</v>
      </c>
      <c r="I10" s="5"/>
      <c r="J10" s="33">
        <f t="shared" si="4"/>
        <v>0</v>
      </c>
      <c r="K10" s="33">
        <f t="shared" si="5"/>
        <v>-0.33040000000000003</v>
      </c>
      <c r="L10" s="33">
        <v>-0.33040000000000003</v>
      </c>
      <c r="N10" s="39"/>
    </row>
    <row r="11" spans="1:14" ht="20.100000000000001" customHeight="1" thickBot="1" x14ac:dyDescent="0.3">
      <c r="A11" s="1" t="s">
        <v>7</v>
      </c>
      <c r="B11" s="7">
        <v>26.3</v>
      </c>
      <c r="C11" s="7">
        <v>36.299999999999997</v>
      </c>
      <c r="D11" s="12">
        <f t="shared" si="0"/>
        <v>20.988659999999999</v>
      </c>
      <c r="E11" s="32"/>
      <c r="F11" s="13">
        <f t="shared" si="1"/>
        <v>21.735537190082646</v>
      </c>
      <c r="G11" s="13">
        <f t="shared" si="2"/>
        <v>30</v>
      </c>
      <c r="H11" s="8">
        <f t="shared" si="3"/>
        <v>17.346</v>
      </c>
      <c r="I11" s="5"/>
      <c r="J11" s="33">
        <f t="shared" si="4"/>
        <v>0.3802281368821292</v>
      </c>
      <c r="K11" s="33">
        <f>(H11/F11)-1</f>
        <v>-0.20195209125475289</v>
      </c>
      <c r="L11" s="33">
        <v>-0.42180000000000001</v>
      </c>
      <c r="N11" s="39"/>
    </row>
    <row r="12" spans="1:14" ht="20.100000000000001" customHeight="1" thickBot="1" x14ac:dyDescent="0.3">
      <c r="A12" s="1" t="s">
        <v>8</v>
      </c>
      <c r="B12" s="7">
        <v>30</v>
      </c>
      <c r="C12" s="7">
        <v>41.3</v>
      </c>
      <c r="D12" s="12">
        <f t="shared" si="0"/>
        <v>22.223529999999997</v>
      </c>
      <c r="E12" s="32"/>
      <c r="F12" s="13">
        <f t="shared" si="1"/>
        <v>24.793388429752067</v>
      </c>
      <c r="G12" s="13">
        <f t="shared" si="2"/>
        <v>34.132231404958674</v>
      </c>
      <c r="H12" s="8">
        <f t="shared" si="3"/>
        <v>18.366553719008262</v>
      </c>
      <c r="I12" s="5"/>
      <c r="J12" s="33">
        <f t="shared" si="4"/>
        <v>0.37666666666666648</v>
      </c>
      <c r="K12" s="33">
        <f t="shared" si="5"/>
        <v>-0.25921566666666673</v>
      </c>
      <c r="L12" s="33">
        <v>-0.46189999999999998</v>
      </c>
      <c r="N12" s="39"/>
    </row>
    <row r="13" spans="1:14" ht="20.100000000000001" customHeight="1" thickBot="1" x14ac:dyDescent="0.3">
      <c r="A13" s="1" t="s">
        <v>9</v>
      </c>
      <c r="B13" s="7">
        <v>26.3</v>
      </c>
      <c r="C13" s="7">
        <v>36.299999999999997</v>
      </c>
      <c r="D13" s="12">
        <f t="shared" si="0"/>
        <v>20.988659999999999</v>
      </c>
      <c r="E13" s="32"/>
      <c r="F13" s="13">
        <f t="shared" si="1"/>
        <v>21.735537190082646</v>
      </c>
      <c r="G13" s="13">
        <f t="shared" si="2"/>
        <v>30</v>
      </c>
      <c r="H13" s="8">
        <f t="shared" si="3"/>
        <v>17.346</v>
      </c>
      <c r="I13" s="5"/>
      <c r="J13" s="33">
        <f t="shared" si="4"/>
        <v>0.3802281368821292</v>
      </c>
      <c r="K13" s="33">
        <f t="shared" si="5"/>
        <v>-0.20195209125475289</v>
      </c>
      <c r="L13" s="33">
        <v>-0.42180000000000001</v>
      </c>
      <c r="N13" s="39"/>
    </row>
    <row r="14" spans="1:14" ht="20.100000000000001" customHeight="1" thickBot="1" x14ac:dyDescent="0.3">
      <c r="A14" s="1" t="s">
        <v>10</v>
      </c>
      <c r="B14" s="7">
        <v>30</v>
      </c>
      <c r="C14" s="7">
        <v>41.3</v>
      </c>
      <c r="D14" s="12">
        <f t="shared" si="0"/>
        <v>22.223529999999997</v>
      </c>
      <c r="E14" s="32"/>
      <c r="F14" s="13">
        <f t="shared" si="1"/>
        <v>24.793388429752067</v>
      </c>
      <c r="G14" s="13">
        <f t="shared" si="2"/>
        <v>34.132231404958674</v>
      </c>
      <c r="H14" s="8">
        <f t="shared" si="3"/>
        <v>18.366553719008262</v>
      </c>
      <c r="I14" s="5"/>
      <c r="J14" s="33">
        <f t="shared" si="4"/>
        <v>0.37666666666666648</v>
      </c>
      <c r="K14" s="33">
        <f t="shared" si="5"/>
        <v>-0.25921566666666673</v>
      </c>
      <c r="L14" s="33">
        <v>-0.46189999999999998</v>
      </c>
      <c r="N14" s="39"/>
    </row>
    <row r="15" spans="1:14" ht="20.100000000000001" customHeight="1" thickBot="1" x14ac:dyDescent="0.3">
      <c r="A15" s="1" t="s">
        <v>11</v>
      </c>
      <c r="B15" s="7">
        <v>50.9</v>
      </c>
      <c r="C15" s="7">
        <v>50.9</v>
      </c>
      <c r="D15" s="12">
        <f t="shared" si="0"/>
        <v>34.281149999999997</v>
      </c>
      <c r="E15" s="32"/>
      <c r="F15" s="13">
        <f t="shared" si="1"/>
        <v>42.066115702479337</v>
      </c>
      <c r="G15" s="13">
        <f t="shared" si="2"/>
        <v>42.066115702479337</v>
      </c>
      <c r="H15" s="8">
        <f t="shared" si="3"/>
        <v>28.331528925619832</v>
      </c>
      <c r="I15" s="5"/>
      <c r="J15" s="33">
        <f t="shared" si="4"/>
        <v>0</v>
      </c>
      <c r="K15" s="33">
        <f t="shared" si="5"/>
        <v>-0.32650000000000001</v>
      </c>
      <c r="L15" s="33">
        <v>-0.32650000000000001</v>
      </c>
      <c r="N15" s="39"/>
    </row>
    <row r="16" spans="1:14" ht="20.100000000000001" customHeight="1" thickBot="1" x14ac:dyDescent="0.3">
      <c r="A16" s="1" t="s">
        <v>12</v>
      </c>
      <c r="B16" s="7">
        <v>55.8</v>
      </c>
      <c r="C16" s="7">
        <v>55.8</v>
      </c>
      <c r="D16" s="12">
        <f t="shared" si="0"/>
        <v>37.240920000000003</v>
      </c>
      <c r="E16" s="32"/>
      <c r="F16" s="13">
        <f t="shared" si="1"/>
        <v>46.115702479338843</v>
      </c>
      <c r="G16" s="13">
        <f t="shared" si="2"/>
        <v>46.115702479338843</v>
      </c>
      <c r="H16" s="8">
        <f t="shared" si="3"/>
        <v>30.777619834710745</v>
      </c>
      <c r="I16" s="5"/>
      <c r="J16" s="33">
        <f t="shared" si="4"/>
        <v>0</v>
      </c>
      <c r="K16" s="33">
        <f t="shared" si="5"/>
        <v>-0.33260000000000001</v>
      </c>
      <c r="L16" s="33">
        <v>-0.33260000000000001</v>
      </c>
      <c r="N16" s="39"/>
    </row>
    <row r="17" spans="1:14" ht="20.100000000000001" customHeight="1" thickBot="1" x14ac:dyDescent="0.3">
      <c r="A17" s="1" t="s">
        <v>13</v>
      </c>
      <c r="B17" s="7">
        <v>11</v>
      </c>
      <c r="C17" s="7">
        <v>13.3</v>
      </c>
      <c r="D17" s="12">
        <f t="shared" si="0"/>
        <v>7.7552300000000001</v>
      </c>
      <c r="E17" s="32"/>
      <c r="F17" s="13">
        <f t="shared" si="1"/>
        <v>9.0909090909090917</v>
      </c>
      <c r="G17" s="13">
        <f t="shared" si="2"/>
        <v>10.991735537190083</v>
      </c>
      <c r="H17" s="8">
        <f t="shared" si="3"/>
        <v>6.4092809917355371</v>
      </c>
      <c r="I17" s="5"/>
      <c r="J17" s="33">
        <f t="shared" si="4"/>
        <v>0.20909090909090899</v>
      </c>
      <c r="K17" s="33">
        <f t="shared" si="5"/>
        <v>-0.29497909090909102</v>
      </c>
      <c r="L17" s="33">
        <v>-0.41689999999999999</v>
      </c>
      <c r="N17" s="39"/>
    </row>
    <row r="18" spans="1:14" ht="20.100000000000001" customHeight="1" thickBot="1" x14ac:dyDescent="0.3">
      <c r="A18" s="1" t="s">
        <v>14</v>
      </c>
      <c r="B18" s="7">
        <v>16.5</v>
      </c>
      <c r="C18" s="7">
        <v>19.899999999999999</v>
      </c>
      <c r="D18" s="12">
        <f t="shared" si="0"/>
        <v>11.520110000000001</v>
      </c>
      <c r="E18" s="32"/>
      <c r="F18" s="13">
        <f t="shared" si="1"/>
        <v>13.636363636363637</v>
      </c>
      <c r="G18" s="13">
        <f t="shared" si="2"/>
        <v>16.446280991735538</v>
      </c>
      <c r="H18" s="8">
        <f t="shared" si="3"/>
        <v>9.520752066115703</v>
      </c>
      <c r="I18" s="32"/>
      <c r="J18" s="33">
        <f t="shared" si="4"/>
        <v>0.20606060606060606</v>
      </c>
      <c r="K18" s="33">
        <f t="shared" si="5"/>
        <v>-0.30181151515151516</v>
      </c>
      <c r="L18" s="33">
        <v>-0.42109999999999997</v>
      </c>
      <c r="N18" s="39"/>
    </row>
    <row r="19" spans="1:14" ht="20.100000000000001" customHeight="1" thickBot="1" x14ac:dyDescent="0.3">
      <c r="A19" s="40" t="s">
        <v>15</v>
      </c>
      <c r="B19" s="41"/>
      <c r="C19" s="41"/>
      <c r="D19" s="41"/>
      <c r="E19" s="31"/>
      <c r="F19" s="31"/>
      <c r="G19" s="31"/>
      <c r="H19" s="31"/>
      <c r="I19" s="5"/>
      <c r="J19" s="2"/>
      <c r="K19" s="2"/>
      <c r="L19" s="2"/>
    </row>
    <row r="20" spans="1:14" ht="20.100000000000001" customHeight="1" thickBot="1" x14ac:dyDescent="0.3">
      <c r="A20" s="1" t="s">
        <v>16</v>
      </c>
      <c r="B20" s="7">
        <v>25.8</v>
      </c>
      <c r="C20" s="7">
        <v>38</v>
      </c>
      <c r="D20" s="12">
        <f t="shared" si="0"/>
        <v>22.047599999999999</v>
      </c>
      <c r="F20" s="13">
        <f t="shared" ref="F20:F29" si="6">B20/(1+$G$2)</f>
        <v>21.32231404958678</v>
      </c>
      <c r="G20" s="13">
        <f t="shared" ref="G20:G29" si="7">C20/(1+$G$2)</f>
        <v>31.404958677685951</v>
      </c>
      <c r="H20" s="8">
        <f t="shared" si="3"/>
        <v>18.221157024793389</v>
      </c>
      <c r="I20" s="5"/>
      <c r="J20" s="2">
        <f t="shared" ref="J20:J22" si="8">(G20/F20)-1</f>
        <v>0.4728682170542633</v>
      </c>
      <c r="K20" s="2">
        <f t="shared" ref="K20:K22" si="9">(H20/F20)-1</f>
        <v>-0.14544186046511642</v>
      </c>
      <c r="L20" s="33">
        <v>-0.41980000000000001</v>
      </c>
    </row>
    <row r="21" spans="1:14" ht="20.100000000000001" customHeight="1" thickBot="1" x14ac:dyDescent="0.3">
      <c r="A21" s="1" t="s">
        <v>31</v>
      </c>
      <c r="B21" s="7">
        <v>54.8</v>
      </c>
      <c r="C21" s="7">
        <v>56.5</v>
      </c>
      <c r="D21" s="12">
        <f t="shared" si="0"/>
        <v>32.815199999999997</v>
      </c>
      <c r="F21" s="13">
        <f t="shared" si="6"/>
        <v>45.289256198347104</v>
      </c>
      <c r="G21" s="13">
        <f t="shared" si="7"/>
        <v>46.694214876033058</v>
      </c>
      <c r="H21" s="8">
        <f t="shared" si="3"/>
        <v>27.12</v>
      </c>
      <c r="I21" s="5"/>
      <c r="J21" s="2">
        <f t="shared" si="8"/>
        <v>3.1021897810219023E-2</v>
      </c>
      <c r="K21" s="2">
        <f t="shared" si="9"/>
        <v>-0.4011824817518248</v>
      </c>
      <c r="L21" s="33">
        <v>-0.41920000000000002</v>
      </c>
    </row>
    <row r="22" spans="1:14" ht="20.100000000000001" customHeight="1" thickBot="1" x14ac:dyDescent="0.3">
      <c r="A22" s="1" t="s">
        <v>35</v>
      </c>
      <c r="B22" s="7">
        <v>2.5</v>
      </c>
      <c r="C22" s="7">
        <v>4.0999999999999996</v>
      </c>
      <c r="D22" s="12">
        <f t="shared" si="0"/>
        <v>3.0610599999999994</v>
      </c>
      <c r="F22" s="13">
        <f t="shared" si="6"/>
        <v>2.0661157024793391</v>
      </c>
      <c r="G22" s="13">
        <f t="shared" si="7"/>
        <v>3.3884297520661155</v>
      </c>
      <c r="H22" s="8">
        <f t="shared" si="3"/>
        <v>2.5298016528925618</v>
      </c>
      <c r="I22" s="5"/>
      <c r="J22" s="2">
        <f t="shared" si="8"/>
        <v>0.63999999999999968</v>
      </c>
      <c r="K22" s="2">
        <f t="shared" si="9"/>
        <v>0.22442399999999973</v>
      </c>
      <c r="L22" s="33">
        <v>-0.25340000000000001</v>
      </c>
    </row>
    <row r="23" spans="1:14" ht="20.100000000000001" customHeight="1" thickBot="1" x14ac:dyDescent="0.3">
      <c r="A23" s="1" t="s">
        <v>34</v>
      </c>
      <c r="B23" s="10"/>
      <c r="C23" s="7">
        <v>4.0999999999999996</v>
      </c>
      <c r="D23" s="12">
        <f t="shared" si="0"/>
        <v>2.2180999999999993</v>
      </c>
      <c r="F23" s="13">
        <f t="shared" si="6"/>
        <v>0</v>
      </c>
      <c r="G23" s="13">
        <f t="shared" si="7"/>
        <v>3.3884297520661155</v>
      </c>
      <c r="H23" s="8">
        <f t="shared" si="3"/>
        <v>1.8331404958677682</v>
      </c>
      <c r="I23" s="5"/>
      <c r="J23" s="25"/>
      <c r="K23" s="25"/>
      <c r="L23" s="33">
        <v>-0.45900000000000002</v>
      </c>
    </row>
    <row r="24" spans="1:14" ht="20.100000000000001" customHeight="1" thickBot="1" x14ac:dyDescent="0.3">
      <c r="A24" s="1" t="s">
        <v>17</v>
      </c>
      <c r="B24" s="7">
        <v>14.2</v>
      </c>
      <c r="C24" s="7">
        <v>17.2</v>
      </c>
      <c r="D24" s="12">
        <f t="shared" si="0"/>
        <v>9.9639599999999984</v>
      </c>
      <c r="F24" s="13">
        <f t="shared" si="6"/>
        <v>11.735537190082644</v>
      </c>
      <c r="G24" s="13">
        <f t="shared" si="7"/>
        <v>14.214876033057852</v>
      </c>
      <c r="H24" s="8">
        <f t="shared" si="3"/>
        <v>8.2346776859504125</v>
      </c>
      <c r="I24" s="5"/>
      <c r="J24" s="2">
        <f t="shared" ref="J24:J29" si="10">(G24/F24)-1</f>
        <v>0.21126760563380298</v>
      </c>
      <c r="K24" s="2">
        <f t="shared" ref="K24:K29" si="11">(H24/F24)-1</f>
        <v>-0.29831267605633804</v>
      </c>
      <c r="L24" s="33">
        <v>-0.42070000000000002</v>
      </c>
    </row>
    <row r="25" spans="1:14" ht="20.100000000000001" customHeight="1" thickBot="1" x14ac:dyDescent="0.3">
      <c r="A25" s="1" t="s">
        <v>18</v>
      </c>
      <c r="B25" s="7">
        <v>14.2</v>
      </c>
      <c r="C25" s="7">
        <v>17.2</v>
      </c>
      <c r="D25" s="12">
        <f t="shared" si="0"/>
        <v>9.9639599999999984</v>
      </c>
      <c r="F25" s="13">
        <f t="shared" si="6"/>
        <v>11.735537190082644</v>
      </c>
      <c r="G25" s="13">
        <f t="shared" si="7"/>
        <v>14.214876033057852</v>
      </c>
      <c r="H25" s="8">
        <f t="shared" si="3"/>
        <v>8.2346776859504125</v>
      </c>
      <c r="I25" s="5"/>
      <c r="J25" s="2">
        <f t="shared" si="10"/>
        <v>0.21126760563380298</v>
      </c>
      <c r="K25" s="2">
        <f t="shared" si="11"/>
        <v>-0.29831267605633804</v>
      </c>
      <c r="L25" s="33">
        <v>-0.42070000000000002</v>
      </c>
    </row>
    <row r="26" spans="1:14" ht="20.100000000000001" customHeight="1" thickBot="1" x14ac:dyDescent="0.3">
      <c r="A26" s="1" t="s">
        <v>19</v>
      </c>
      <c r="B26" s="7">
        <v>28.3</v>
      </c>
      <c r="C26" s="7">
        <v>34.4</v>
      </c>
      <c r="D26" s="12">
        <f t="shared" si="0"/>
        <v>19.89696</v>
      </c>
      <c r="F26" s="13">
        <f t="shared" si="6"/>
        <v>23.388429752066116</v>
      </c>
      <c r="G26" s="13">
        <f t="shared" si="7"/>
        <v>28.429752066115704</v>
      </c>
      <c r="H26" s="8">
        <f t="shared" si="3"/>
        <v>16.443768595041323</v>
      </c>
      <c r="I26" s="5"/>
      <c r="J26" s="2">
        <f t="shared" si="10"/>
        <v>0.21554770318021199</v>
      </c>
      <c r="K26" s="2">
        <f t="shared" si="11"/>
        <v>-0.29692720848056531</v>
      </c>
      <c r="L26" s="33">
        <v>-0.42159999999999997</v>
      </c>
    </row>
    <row r="27" spans="1:14" ht="20.100000000000001" customHeight="1" thickBot="1" x14ac:dyDescent="0.3">
      <c r="A27" s="1" t="s">
        <v>20</v>
      </c>
      <c r="B27" s="7">
        <v>42.5</v>
      </c>
      <c r="C27" s="7">
        <v>51.6</v>
      </c>
      <c r="D27" s="12">
        <f t="shared" si="0"/>
        <v>29.855760000000004</v>
      </c>
      <c r="F27" s="13">
        <f t="shared" si="6"/>
        <v>35.123966942148762</v>
      </c>
      <c r="G27" s="13">
        <f t="shared" si="7"/>
        <v>42.644628099173559</v>
      </c>
      <c r="H27" s="8">
        <f t="shared" si="3"/>
        <v>24.674181818181822</v>
      </c>
      <c r="I27" s="5"/>
      <c r="J27" s="2">
        <f t="shared" si="10"/>
        <v>0.21411764705882352</v>
      </c>
      <c r="K27" s="2">
        <f t="shared" si="11"/>
        <v>-0.29751152941176462</v>
      </c>
      <c r="L27" s="33">
        <v>-0.4214</v>
      </c>
    </row>
    <row r="28" spans="1:14" ht="20.100000000000001" customHeight="1" thickBot="1" x14ac:dyDescent="0.3">
      <c r="A28" s="1" t="s">
        <v>21</v>
      </c>
      <c r="B28" s="7">
        <v>4.3</v>
      </c>
      <c r="C28" s="7">
        <v>5.8</v>
      </c>
      <c r="D28" s="12">
        <f t="shared" si="0"/>
        <v>5.8</v>
      </c>
      <c r="F28" s="13">
        <f t="shared" si="6"/>
        <v>3.553719008264463</v>
      </c>
      <c r="G28" s="13">
        <f t="shared" si="7"/>
        <v>4.7933884297520661</v>
      </c>
      <c r="H28" s="13">
        <f t="shared" si="3"/>
        <v>4.7933884297520661</v>
      </c>
      <c r="I28" s="5"/>
      <c r="J28" s="2">
        <f t="shared" si="10"/>
        <v>0.34883720930232553</v>
      </c>
      <c r="K28" s="2">
        <f t="shared" si="11"/>
        <v>0.34883720930232553</v>
      </c>
      <c r="L28" s="33">
        <v>0</v>
      </c>
    </row>
    <row r="29" spans="1:14" ht="20.100000000000001" customHeight="1" thickBot="1" x14ac:dyDescent="0.3">
      <c r="A29" s="1" t="s">
        <v>22</v>
      </c>
      <c r="B29" s="7">
        <v>25.8</v>
      </c>
      <c r="C29" s="7">
        <v>38</v>
      </c>
      <c r="D29" s="12">
        <f t="shared" si="0"/>
        <v>22.047599999999999</v>
      </c>
      <c r="F29" s="13">
        <f t="shared" si="6"/>
        <v>21.32231404958678</v>
      </c>
      <c r="G29" s="13">
        <f t="shared" si="7"/>
        <v>31.404958677685951</v>
      </c>
      <c r="H29" s="8">
        <f t="shared" si="3"/>
        <v>18.221157024793389</v>
      </c>
      <c r="J29" s="2">
        <f t="shared" si="10"/>
        <v>0.4728682170542633</v>
      </c>
      <c r="K29" s="2">
        <f t="shared" si="11"/>
        <v>-0.14544186046511642</v>
      </c>
      <c r="L29" s="33">
        <v>-0.41980000000000001</v>
      </c>
    </row>
    <row r="30" spans="1:14" ht="20.100000000000001" customHeight="1" thickBot="1" x14ac:dyDescent="0.3">
      <c r="A30" s="40" t="s">
        <v>23</v>
      </c>
      <c r="B30" s="41"/>
      <c r="C30" s="41"/>
      <c r="D30" s="41"/>
      <c r="E30" s="31"/>
      <c r="F30" s="31"/>
      <c r="G30" s="31"/>
      <c r="H30" s="31"/>
      <c r="J30" s="2"/>
      <c r="K30" s="2"/>
      <c r="L30" s="33"/>
    </row>
    <row r="31" spans="1:14" ht="20.100000000000001" customHeight="1" thickBot="1" x14ac:dyDescent="0.3">
      <c r="A31" s="1" t="s">
        <v>24</v>
      </c>
      <c r="B31" s="29">
        <v>38.1</v>
      </c>
      <c r="C31" s="29">
        <f>B31</f>
        <v>38.1</v>
      </c>
      <c r="D31" s="38"/>
      <c r="E31" s="9"/>
      <c r="F31" s="14">
        <f t="shared" ref="F31:F32" si="12">B31/(1+$G$2)</f>
        <v>31.487603305785125</v>
      </c>
      <c r="G31" s="14">
        <f t="shared" ref="G31:G32" si="13">C31/(1+$G$2)</f>
        <v>31.487603305785125</v>
      </c>
      <c r="H31" s="14"/>
      <c r="J31" s="2">
        <f t="shared" ref="J31:J32" si="14">(G31/F31)-1</f>
        <v>0</v>
      </c>
      <c r="K31" s="2">
        <f t="shared" ref="K31:K32" si="15">(H31/F31)-1</f>
        <v>-1</v>
      </c>
      <c r="L31" s="33">
        <v>0</v>
      </c>
    </row>
    <row r="32" spans="1:14" ht="20.100000000000001" customHeight="1" thickBot="1" x14ac:dyDescent="0.3">
      <c r="A32" s="1" t="s">
        <v>25</v>
      </c>
      <c r="B32" s="29">
        <v>47.2</v>
      </c>
      <c r="C32" s="29">
        <f>B32</f>
        <v>47.2</v>
      </c>
      <c r="D32" s="38"/>
      <c r="E32" s="9"/>
      <c r="F32" s="14">
        <f t="shared" si="12"/>
        <v>39.008264462809919</v>
      </c>
      <c r="G32" s="14">
        <f t="shared" si="13"/>
        <v>39.008264462809919</v>
      </c>
      <c r="H32" s="14"/>
      <c r="J32" s="2">
        <f t="shared" si="14"/>
        <v>0</v>
      </c>
      <c r="K32" s="2">
        <f t="shared" si="15"/>
        <v>-1</v>
      </c>
      <c r="L32" s="33">
        <v>0</v>
      </c>
    </row>
    <row r="33" spans="1:12" ht="20.100000000000001" customHeight="1" thickBot="1" x14ac:dyDescent="0.3">
      <c r="A33" s="40" t="s">
        <v>26</v>
      </c>
      <c r="B33" s="41"/>
      <c r="C33" s="41"/>
      <c r="D33" s="41"/>
      <c r="E33" s="31"/>
      <c r="F33" s="31"/>
      <c r="G33" s="31"/>
      <c r="H33" s="31"/>
      <c r="I33" s="5"/>
      <c r="J33" s="2"/>
      <c r="K33" s="2"/>
      <c r="L33" s="2"/>
    </row>
    <row r="34" spans="1:12" ht="20.100000000000001" customHeight="1" thickBot="1" x14ac:dyDescent="0.3">
      <c r="A34" s="1" t="s">
        <v>27</v>
      </c>
      <c r="B34" s="7">
        <v>50.8</v>
      </c>
      <c r="C34" s="7">
        <v>76.2</v>
      </c>
      <c r="D34" s="15"/>
      <c r="F34" s="16">
        <f t="shared" ref="F34:F37" si="16">B34/(1+$G$2)</f>
        <v>41.983471074380162</v>
      </c>
      <c r="G34" s="17">
        <f t="shared" ref="G34:G37" si="17">C34/(1+$G$2)</f>
        <v>62.97520661157025</v>
      </c>
      <c r="H34" s="11"/>
      <c r="I34" s="5"/>
      <c r="J34" s="2">
        <f t="shared" ref="J34:J37" si="18">(G34/F34)-1</f>
        <v>0.50000000000000022</v>
      </c>
      <c r="K34" s="25"/>
      <c r="L34" s="25"/>
    </row>
    <row r="35" spans="1:12" ht="20.100000000000001" customHeight="1" thickBot="1" x14ac:dyDescent="0.3">
      <c r="A35" s="1" t="s">
        <v>28</v>
      </c>
      <c r="B35" s="7">
        <v>50.8</v>
      </c>
      <c r="C35" s="7">
        <v>76.2</v>
      </c>
      <c r="D35" s="15"/>
      <c r="F35" s="18">
        <f t="shared" si="16"/>
        <v>41.983471074380162</v>
      </c>
      <c r="G35" s="19">
        <f t="shared" si="17"/>
        <v>62.97520661157025</v>
      </c>
      <c r="H35" s="11"/>
      <c r="I35" s="5"/>
      <c r="J35" s="2">
        <f t="shared" si="18"/>
        <v>0.50000000000000022</v>
      </c>
      <c r="K35" s="25"/>
      <c r="L35" s="25"/>
    </row>
    <row r="36" spans="1:12" ht="20.100000000000001" customHeight="1" thickBot="1" x14ac:dyDescent="0.3">
      <c r="A36" s="1" t="s">
        <v>29</v>
      </c>
      <c r="B36" s="7">
        <v>76.2</v>
      </c>
      <c r="C36" s="7">
        <v>101.5</v>
      </c>
      <c r="D36" s="15"/>
      <c r="F36" s="18">
        <f t="shared" si="16"/>
        <v>62.97520661157025</v>
      </c>
      <c r="G36" s="19">
        <f t="shared" si="17"/>
        <v>83.884297520661164</v>
      </c>
      <c r="H36" s="11"/>
      <c r="I36" s="5"/>
      <c r="J36" s="2">
        <f t="shared" si="18"/>
        <v>0.33202099737532809</v>
      </c>
      <c r="K36" s="25"/>
      <c r="L36" s="25"/>
    </row>
    <row r="37" spans="1:12" ht="15.75" thickBot="1" x14ac:dyDescent="0.3">
      <c r="A37" s="1" t="s">
        <v>30</v>
      </c>
      <c r="B37" s="7">
        <v>6.3</v>
      </c>
      <c r="C37" s="7">
        <v>10.199999999999999</v>
      </c>
      <c r="D37" s="15"/>
      <c r="F37" s="20">
        <f t="shared" si="16"/>
        <v>5.2066115702479339</v>
      </c>
      <c r="G37" s="21">
        <f t="shared" si="17"/>
        <v>8.4297520661157019</v>
      </c>
      <c r="H37" s="11"/>
      <c r="J37" s="2">
        <f t="shared" si="18"/>
        <v>0.61904761904761885</v>
      </c>
      <c r="K37" s="25"/>
      <c r="L37" s="25"/>
    </row>
    <row r="38" spans="1:12" ht="15.75" thickBot="1" x14ac:dyDescent="0.3">
      <c r="A38" s="40" t="s">
        <v>36</v>
      </c>
      <c r="B38" s="41"/>
      <c r="C38" s="41"/>
      <c r="D38" s="41"/>
      <c r="E38" s="31"/>
      <c r="F38" s="31"/>
      <c r="G38" s="31"/>
      <c r="H38" s="31"/>
      <c r="I38" s="5"/>
      <c r="L38" s="2"/>
    </row>
    <row r="39" spans="1:12" ht="15.75" thickBot="1" x14ac:dyDescent="0.3">
      <c r="A39" s="1" t="s">
        <v>37</v>
      </c>
      <c r="B39" s="7">
        <v>103.8</v>
      </c>
      <c r="C39" s="7">
        <v>133.69999999999999</v>
      </c>
      <c r="D39" s="12">
        <f t="shared" ref="D39:D46" si="19">H39*(1+$G$2)</f>
        <v>89.593372945798961</v>
      </c>
      <c r="E39" s="3"/>
      <c r="F39" s="12">
        <f t="shared" ref="F39:F41" si="20">B39/(1+$G$2)</f>
        <v>85.785123966942152</v>
      </c>
      <c r="G39" s="12">
        <f t="shared" ref="G39:G41" si="21">C39/(1+$G$2)</f>
        <v>110.49586776859503</v>
      </c>
      <c r="H39" s="8">
        <f t="shared" ref="H39:H46" si="22">G39*(1+L39)</f>
        <v>74.044109872561123</v>
      </c>
      <c r="I39" s="5"/>
      <c r="J39" s="2">
        <f t="shared" ref="J39:J41" si="23">(G39/F39)-1</f>
        <v>0.28805394990366073</v>
      </c>
      <c r="K39" s="33">
        <f t="shared" ref="K39:K41" si="24">(H39/F39)-1</f>
        <v>-0.13686538587862274</v>
      </c>
      <c r="L39" s="33">
        <v>-0.32989249853553504</v>
      </c>
    </row>
    <row r="40" spans="1:12" ht="15.75" thickBot="1" x14ac:dyDescent="0.3">
      <c r="A40" s="1" t="s">
        <v>38</v>
      </c>
      <c r="B40" s="7">
        <v>35.5</v>
      </c>
      <c r="C40" s="7">
        <v>45.7</v>
      </c>
      <c r="D40" s="12">
        <f t="shared" si="19"/>
        <v>30.600720000000003</v>
      </c>
      <c r="E40" s="3"/>
      <c r="F40" s="12">
        <f t="shared" si="20"/>
        <v>29.338842975206614</v>
      </c>
      <c r="G40" s="12">
        <f t="shared" si="21"/>
        <v>37.768595041322321</v>
      </c>
      <c r="H40" s="8">
        <f t="shared" si="22"/>
        <v>25.289851239669424</v>
      </c>
      <c r="I40" s="5"/>
      <c r="J40" s="2">
        <f t="shared" si="23"/>
        <v>0.28732394366197189</v>
      </c>
      <c r="K40" s="33">
        <f t="shared" si="24"/>
        <v>-0.13800788732394365</v>
      </c>
      <c r="L40" s="33">
        <v>-0.33040000000000003</v>
      </c>
    </row>
    <row r="41" spans="1:12" ht="15.75" thickBot="1" x14ac:dyDescent="0.3">
      <c r="A41" s="1" t="s">
        <v>39</v>
      </c>
      <c r="B41" s="7">
        <v>4.5</v>
      </c>
      <c r="C41" s="7">
        <v>5.2</v>
      </c>
      <c r="D41" s="12">
        <f t="shared" si="19"/>
        <v>4.5583200000000001</v>
      </c>
      <c r="E41" s="3"/>
      <c r="F41" s="12">
        <f t="shared" si="20"/>
        <v>3.71900826446281</v>
      </c>
      <c r="G41" s="12">
        <f t="shared" si="21"/>
        <v>4.2975206611570247</v>
      </c>
      <c r="H41" s="8">
        <f t="shared" si="22"/>
        <v>3.7672066115702481</v>
      </c>
      <c r="J41" s="2">
        <f t="shared" si="23"/>
        <v>0.15555555555555545</v>
      </c>
      <c r="K41" s="33">
        <f t="shared" si="24"/>
        <v>1.2960000000000083E-2</v>
      </c>
      <c r="L41" s="33">
        <v>-0.1234</v>
      </c>
    </row>
    <row r="42" spans="1:12" ht="15.75" thickBot="1" x14ac:dyDescent="0.3">
      <c r="A42" s="40" t="s">
        <v>44</v>
      </c>
      <c r="B42" s="41"/>
      <c r="C42" s="41"/>
      <c r="D42" s="41"/>
      <c r="E42" s="31"/>
      <c r="F42" s="31"/>
      <c r="G42" s="31"/>
      <c r="H42" s="31"/>
      <c r="I42" s="5"/>
      <c r="K42" s="32"/>
      <c r="L42" s="33"/>
    </row>
    <row r="43" spans="1:12" ht="15.75" thickBot="1" x14ac:dyDescent="0.3">
      <c r="A43" s="1" t="s">
        <v>40</v>
      </c>
      <c r="B43" s="7">
        <v>40</v>
      </c>
      <c r="C43" s="7">
        <v>40</v>
      </c>
      <c r="D43" s="12">
        <f t="shared" si="19"/>
        <v>17.591999999999999</v>
      </c>
      <c r="E43" s="3"/>
      <c r="F43" s="12">
        <f t="shared" ref="F43:F44" si="25">B43/(1+$G$2)</f>
        <v>33.057851239669425</v>
      </c>
      <c r="G43" s="12">
        <f t="shared" ref="G43:G44" si="26">C43/(1+$G$2)</f>
        <v>33.057851239669425</v>
      </c>
      <c r="H43" s="8">
        <f t="shared" si="22"/>
        <v>14.538842975206611</v>
      </c>
      <c r="I43" s="5"/>
      <c r="J43" s="2">
        <f t="shared" ref="J43:J44" si="27">(G43/F43)-1</f>
        <v>0</v>
      </c>
      <c r="K43" s="33">
        <f t="shared" ref="K43:K44" si="28">(H43/F43)-1</f>
        <v>-0.56020000000000003</v>
      </c>
      <c r="L43" s="33">
        <v>-0.56020000000000003</v>
      </c>
    </row>
    <row r="44" spans="1:12" ht="15.75" thickBot="1" x14ac:dyDescent="0.3">
      <c r="A44" s="1" t="s">
        <v>41</v>
      </c>
      <c r="B44" s="7">
        <v>4.8</v>
      </c>
      <c r="C44" s="7">
        <v>4.8</v>
      </c>
      <c r="D44" s="12">
        <f t="shared" si="19"/>
        <v>4.7908799999999996</v>
      </c>
      <c r="E44" s="3"/>
      <c r="F44" s="12">
        <f t="shared" si="25"/>
        <v>3.9669421487603307</v>
      </c>
      <c r="G44" s="12">
        <f t="shared" si="26"/>
        <v>3.9669421487603307</v>
      </c>
      <c r="H44" s="8">
        <f t="shared" si="22"/>
        <v>3.9594049586776858</v>
      </c>
      <c r="J44" s="2">
        <f t="shared" si="27"/>
        <v>0</v>
      </c>
      <c r="K44" s="33">
        <f t="shared" si="28"/>
        <v>-1.9000000000000128E-3</v>
      </c>
      <c r="L44" s="33">
        <v>-1.9E-3</v>
      </c>
    </row>
    <row r="45" spans="1:12" ht="15.75" thickBot="1" x14ac:dyDescent="0.3">
      <c r="A45" s="40" t="s">
        <v>45</v>
      </c>
      <c r="B45" s="41"/>
      <c r="C45" s="41"/>
      <c r="D45" s="41"/>
      <c r="E45" s="31"/>
      <c r="F45" s="31"/>
      <c r="G45" s="31"/>
      <c r="H45" s="31"/>
      <c r="I45" s="5"/>
      <c r="K45" s="32"/>
      <c r="L45" s="33"/>
    </row>
    <row r="46" spans="1:12" ht="15.75" thickBot="1" x14ac:dyDescent="0.3">
      <c r="A46" s="1" t="s">
        <v>42</v>
      </c>
      <c r="B46" s="7">
        <v>1.9</v>
      </c>
      <c r="C46" s="7">
        <v>1.9</v>
      </c>
      <c r="D46" s="12">
        <f t="shared" si="19"/>
        <v>1.2133400000000001</v>
      </c>
      <c r="E46" s="3"/>
      <c r="F46" s="12">
        <f t="shared" ref="F46:F47" si="29">B46/(1+$G$2)</f>
        <v>1.5702479338842974</v>
      </c>
      <c r="G46" s="12">
        <f t="shared" ref="G46:G47" si="30">C46/(1+$G$2)</f>
        <v>1.5702479338842974</v>
      </c>
      <c r="H46" s="7">
        <f t="shared" si="22"/>
        <v>1.0027603305785124</v>
      </c>
      <c r="I46" s="5"/>
      <c r="J46" s="2">
        <f t="shared" ref="J46:J47" si="31">(G46/F46)-1</f>
        <v>0</v>
      </c>
      <c r="K46" s="33">
        <f t="shared" ref="K46:K47" si="32">(H46/F46)-1</f>
        <v>-0.36139999999999994</v>
      </c>
      <c r="L46" s="33">
        <v>-0.3614</v>
      </c>
    </row>
    <row r="47" spans="1:12" ht="15.75" thickBot="1" x14ac:dyDescent="0.3">
      <c r="A47" s="1" t="s">
        <v>43</v>
      </c>
      <c r="B47" s="30">
        <v>10.5</v>
      </c>
      <c r="C47" s="30">
        <v>10.5</v>
      </c>
      <c r="D47" s="22"/>
      <c r="E47" s="3"/>
      <c r="F47" s="12">
        <f t="shared" si="29"/>
        <v>8.677685950413224</v>
      </c>
      <c r="G47" s="12">
        <f t="shared" si="30"/>
        <v>8.677685950413224</v>
      </c>
      <c r="H47" s="15"/>
      <c r="J47" s="2">
        <f t="shared" si="31"/>
        <v>0</v>
      </c>
      <c r="K47" s="33">
        <f t="shared" si="32"/>
        <v>-1</v>
      </c>
      <c r="L47" s="33">
        <v>-1</v>
      </c>
    </row>
    <row r="48" spans="1:12" ht="15.75" thickBot="1" x14ac:dyDescent="0.3">
      <c r="A48" s="40" t="s">
        <v>48</v>
      </c>
      <c r="B48" s="41"/>
      <c r="C48" s="41"/>
      <c r="D48" s="41"/>
      <c r="E48" s="31"/>
      <c r="F48" s="31"/>
      <c r="G48" s="31"/>
      <c r="H48" s="31"/>
      <c r="I48" s="5"/>
      <c r="K48" s="32"/>
      <c r="L48" s="33"/>
    </row>
    <row r="49" spans="1:12" ht="15.75" thickBot="1" x14ac:dyDescent="0.3">
      <c r="A49" s="1" t="s">
        <v>47</v>
      </c>
      <c r="B49" s="7">
        <v>51</v>
      </c>
      <c r="C49" s="7">
        <v>54.5</v>
      </c>
      <c r="D49" s="12">
        <f t="shared" ref="D49" si="33">H49*(1+$G$2)</f>
        <v>49.235299999999995</v>
      </c>
      <c r="E49" s="3"/>
      <c r="F49" s="12">
        <f t="shared" ref="F49" si="34">B49/(1+$G$2)</f>
        <v>42.148760330578511</v>
      </c>
      <c r="G49" s="12">
        <f t="shared" ref="G49" si="35">C49/(1+$G$2)</f>
        <v>45.041322314049587</v>
      </c>
      <c r="H49" s="7">
        <f>G49*(1+L49)</f>
        <v>40.690330578512395</v>
      </c>
      <c r="J49" s="2">
        <f t="shared" ref="J49:J73" si="36">(G49/F49)-1</f>
        <v>6.8627450980392135E-2</v>
      </c>
      <c r="K49" s="33">
        <f>(H49/F49)-1</f>
        <v>-3.4601960784313768E-2</v>
      </c>
      <c r="L49" s="33">
        <v>-9.6600000000000005E-2</v>
      </c>
    </row>
    <row r="50" spans="1:12" ht="15.75" thickBot="1" x14ac:dyDescent="0.3">
      <c r="A50" s="40" t="s">
        <v>49</v>
      </c>
      <c r="B50" s="41"/>
      <c r="C50" s="41"/>
      <c r="D50" s="41"/>
      <c r="E50" s="31"/>
      <c r="F50" s="31"/>
      <c r="G50" s="31"/>
      <c r="H50" s="31"/>
      <c r="J50" s="2"/>
      <c r="K50" s="2"/>
      <c r="L50" s="2"/>
    </row>
    <row r="51" spans="1:12" ht="15.75" thickBot="1" x14ac:dyDescent="0.3">
      <c r="A51" s="1" t="s">
        <v>50</v>
      </c>
      <c r="B51" s="7">
        <v>15.7</v>
      </c>
      <c r="C51" s="7">
        <v>32.299999999999997</v>
      </c>
      <c r="D51" s="15"/>
      <c r="F51" s="13">
        <f t="shared" ref="F51:F57" si="37">B51/(1+$G$2)</f>
        <v>12.975206611570247</v>
      </c>
      <c r="G51" s="13">
        <f t="shared" ref="G51:G57" si="38">C51/(1+$G$2)</f>
        <v>26.694214876033055</v>
      </c>
      <c r="H51" s="11"/>
      <c r="J51" s="2">
        <f t="shared" si="36"/>
        <v>1.057324840764331</v>
      </c>
      <c r="K51" s="25"/>
      <c r="L51" s="25"/>
    </row>
    <row r="52" spans="1:12" ht="15.75" thickBot="1" x14ac:dyDescent="0.3">
      <c r="A52" s="1" t="s">
        <v>55</v>
      </c>
      <c r="B52" s="7">
        <v>15.4</v>
      </c>
      <c r="C52" s="7">
        <v>31.75</v>
      </c>
      <c r="D52" s="15"/>
      <c r="F52" s="13">
        <f t="shared" si="37"/>
        <v>12.727272727272728</v>
      </c>
      <c r="G52" s="13">
        <f t="shared" si="38"/>
        <v>26.239669421487605</v>
      </c>
      <c r="H52" s="11"/>
      <c r="J52" s="2">
        <f t="shared" si="36"/>
        <v>1.0616883116883118</v>
      </c>
      <c r="K52" s="25"/>
      <c r="L52" s="25"/>
    </row>
    <row r="53" spans="1:12" ht="15.75" thickBot="1" x14ac:dyDescent="0.3">
      <c r="A53" s="1" t="s">
        <v>51</v>
      </c>
      <c r="B53" s="37"/>
      <c r="C53" s="7">
        <v>71.8</v>
      </c>
      <c r="D53" s="15"/>
      <c r="F53" s="13">
        <f t="shared" si="37"/>
        <v>0</v>
      </c>
      <c r="G53" s="13">
        <f t="shared" si="38"/>
        <v>59.33884297520661</v>
      </c>
      <c r="H53" s="11"/>
      <c r="J53" s="2" t="e">
        <f t="shared" si="36"/>
        <v>#DIV/0!</v>
      </c>
      <c r="K53" s="25"/>
      <c r="L53" s="25"/>
    </row>
    <row r="54" spans="1:12" ht="15.75" thickBot="1" x14ac:dyDescent="0.3">
      <c r="A54" s="1" t="s">
        <v>64</v>
      </c>
      <c r="B54" s="37"/>
      <c r="C54" s="7">
        <v>133.30000000000001</v>
      </c>
      <c r="D54" s="15"/>
      <c r="F54" s="13">
        <f t="shared" si="37"/>
        <v>0</v>
      </c>
      <c r="G54" s="13">
        <f t="shared" si="38"/>
        <v>110.16528925619836</v>
      </c>
      <c r="H54" s="11"/>
      <c r="J54" s="2" t="e">
        <f t="shared" si="36"/>
        <v>#DIV/0!</v>
      </c>
      <c r="K54" s="25"/>
      <c r="L54" s="25"/>
    </row>
    <row r="55" spans="1:12" ht="15.75" thickBot="1" x14ac:dyDescent="0.3">
      <c r="A55" s="1" t="s">
        <v>52</v>
      </c>
      <c r="B55" s="7">
        <v>6.3</v>
      </c>
      <c r="C55" s="7">
        <v>9.6999999999999993</v>
      </c>
      <c r="D55" s="15"/>
      <c r="F55" s="13">
        <f t="shared" si="37"/>
        <v>5.2066115702479339</v>
      </c>
      <c r="G55" s="13">
        <f t="shared" si="38"/>
        <v>8.0165289256198342</v>
      </c>
      <c r="H55" s="11"/>
      <c r="J55" s="2">
        <f t="shared" si="36"/>
        <v>0.53968253968253954</v>
      </c>
      <c r="K55" s="25"/>
      <c r="L55" s="25"/>
    </row>
    <row r="56" spans="1:12" ht="15.75" thickBot="1" x14ac:dyDescent="0.3">
      <c r="A56" s="1" t="s">
        <v>65</v>
      </c>
      <c r="B56" s="7">
        <v>46.9</v>
      </c>
      <c r="C56" s="7">
        <v>64.5</v>
      </c>
      <c r="D56" s="15"/>
      <c r="F56" s="13">
        <f t="shared" si="37"/>
        <v>38.760330578512395</v>
      </c>
      <c r="G56" s="13">
        <f t="shared" si="38"/>
        <v>53.305785123966942</v>
      </c>
      <c r="H56" s="11"/>
      <c r="J56" s="2">
        <f t="shared" si="36"/>
        <v>0.375266524520256</v>
      </c>
      <c r="K56" s="25"/>
      <c r="L56" s="25"/>
    </row>
    <row r="57" spans="1:12" ht="15.75" thickBot="1" x14ac:dyDescent="0.3">
      <c r="A57" s="1" t="s">
        <v>53</v>
      </c>
      <c r="B57" s="7">
        <v>31.3</v>
      </c>
      <c r="C57" s="7">
        <v>53.7</v>
      </c>
      <c r="D57" s="15"/>
      <c r="F57" s="13">
        <f t="shared" si="37"/>
        <v>25.867768595041323</v>
      </c>
      <c r="G57" s="13">
        <f t="shared" si="38"/>
        <v>44.380165289256205</v>
      </c>
      <c r="H57" s="11"/>
      <c r="J57" s="2">
        <f t="shared" si="36"/>
        <v>0.71565495207667751</v>
      </c>
      <c r="K57" s="25"/>
      <c r="L57" s="25"/>
    </row>
    <row r="58" spans="1:12" ht="15.75" thickBot="1" x14ac:dyDescent="0.3">
      <c r="A58" s="40" t="s">
        <v>54</v>
      </c>
      <c r="B58" s="41"/>
      <c r="C58" s="41"/>
      <c r="D58" s="41"/>
      <c r="E58" s="31"/>
      <c r="F58" s="31"/>
      <c r="G58" s="31"/>
      <c r="H58" s="31"/>
      <c r="J58" s="2"/>
      <c r="K58" s="2"/>
      <c r="L58" s="2"/>
    </row>
    <row r="59" spans="1:12" ht="15.75" thickBot="1" x14ac:dyDescent="0.3">
      <c r="A59" s="1" t="s">
        <v>50</v>
      </c>
      <c r="B59" s="7">
        <v>15.7</v>
      </c>
      <c r="C59" s="7">
        <v>32.299999999999997</v>
      </c>
      <c r="D59" s="15"/>
      <c r="F59" s="13">
        <f t="shared" ref="F59:F63" si="39">B59/(1+$G$2)</f>
        <v>12.975206611570247</v>
      </c>
      <c r="G59" s="13">
        <f t="shared" ref="G59:G63" si="40">C59/(1+$G$2)</f>
        <v>26.694214876033055</v>
      </c>
      <c r="H59" s="11"/>
      <c r="J59" s="2">
        <f t="shared" si="36"/>
        <v>1.057324840764331</v>
      </c>
      <c r="K59" s="25"/>
      <c r="L59" s="25"/>
    </row>
    <row r="60" spans="1:12" ht="15.75" thickBot="1" x14ac:dyDescent="0.3">
      <c r="A60" s="1" t="s">
        <v>55</v>
      </c>
      <c r="B60" s="7">
        <v>15.4</v>
      </c>
      <c r="C60" s="7">
        <v>31.75</v>
      </c>
      <c r="D60" s="15"/>
      <c r="F60" s="13">
        <f t="shared" si="39"/>
        <v>12.727272727272728</v>
      </c>
      <c r="G60" s="13">
        <f t="shared" si="40"/>
        <v>26.239669421487605</v>
      </c>
      <c r="H60" s="11"/>
      <c r="J60" s="2">
        <f t="shared" si="36"/>
        <v>1.0616883116883118</v>
      </c>
      <c r="K60" s="25"/>
      <c r="L60" s="25"/>
    </row>
    <row r="61" spans="1:12" ht="15.75" thickBot="1" x14ac:dyDescent="0.3">
      <c r="A61" s="1" t="s">
        <v>56</v>
      </c>
      <c r="B61" s="15"/>
      <c r="C61" s="7">
        <v>71.8</v>
      </c>
      <c r="D61" s="15"/>
      <c r="F61" s="13">
        <f t="shared" si="39"/>
        <v>0</v>
      </c>
      <c r="G61" s="13">
        <f t="shared" si="40"/>
        <v>59.33884297520661</v>
      </c>
      <c r="H61" s="11"/>
      <c r="J61" s="2" t="e">
        <f t="shared" si="36"/>
        <v>#DIV/0!</v>
      </c>
      <c r="K61" s="25"/>
      <c r="L61" s="25"/>
    </row>
    <row r="62" spans="1:12" ht="15.75" thickBot="1" x14ac:dyDescent="0.3">
      <c r="A62" s="1" t="s">
        <v>66</v>
      </c>
      <c r="B62" s="7">
        <v>38.700000000000003</v>
      </c>
      <c r="C62" s="7">
        <v>49.8</v>
      </c>
      <c r="D62" s="15"/>
      <c r="F62" s="13">
        <f t="shared" si="39"/>
        <v>31.983471074380169</v>
      </c>
      <c r="G62" s="13">
        <f t="shared" si="40"/>
        <v>41.15702479338843</v>
      </c>
      <c r="H62" s="11"/>
      <c r="J62" s="2">
        <f t="shared" si="36"/>
        <v>0.28682170542635643</v>
      </c>
      <c r="K62" s="25"/>
      <c r="L62" s="25"/>
    </row>
    <row r="63" spans="1:12" ht="15.75" thickBot="1" x14ac:dyDescent="0.3">
      <c r="A63" s="1" t="s">
        <v>73</v>
      </c>
      <c r="B63" s="7">
        <v>50.8</v>
      </c>
      <c r="C63" s="7">
        <v>52.4</v>
      </c>
      <c r="D63" s="15"/>
      <c r="F63" s="13">
        <f t="shared" si="39"/>
        <v>41.983471074380162</v>
      </c>
      <c r="G63" s="11">
        <f t="shared" si="40"/>
        <v>43.305785123966942</v>
      </c>
      <c r="H63" s="11"/>
      <c r="J63" s="2">
        <f t="shared" si="36"/>
        <v>3.149606299212615E-2</v>
      </c>
      <c r="K63" s="25"/>
      <c r="L63" s="25"/>
    </row>
    <row r="64" spans="1:12" ht="15.75" thickBot="1" x14ac:dyDescent="0.3">
      <c r="A64" s="40" t="s">
        <v>57</v>
      </c>
      <c r="B64" s="41"/>
      <c r="C64" s="41"/>
      <c r="D64" s="41"/>
      <c r="E64" s="31"/>
      <c r="F64" s="31"/>
      <c r="G64" s="31"/>
      <c r="H64" s="31"/>
      <c r="J64" s="2"/>
      <c r="K64" s="2"/>
      <c r="L64" s="2"/>
    </row>
    <row r="65" spans="1:12" ht="15.75" thickBot="1" x14ac:dyDescent="0.3">
      <c r="A65" s="1" t="s">
        <v>67</v>
      </c>
      <c r="B65" s="7">
        <v>38.700000000000003</v>
      </c>
      <c r="C65" s="7">
        <v>49.8</v>
      </c>
      <c r="D65" s="15"/>
      <c r="F65" s="13">
        <f t="shared" ref="F65:F69" si="41">B65/(1+$G$2)</f>
        <v>31.983471074380169</v>
      </c>
      <c r="G65" s="13">
        <f t="shared" ref="G65:G69" si="42">C65/(1+$G$2)</f>
        <v>41.15702479338843</v>
      </c>
      <c r="H65" s="11"/>
      <c r="J65" s="2">
        <f t="shared" si="36"/>
        <v>0.28682170542635643</v>
      </c>
      <c r="K65" s="25"/>
      <c r="L65" s="25"/>
    </row>
    <row r="66" spans="1:12" ht="15.75" thickBot="1" x14ac:dyDescent="0.3">
      <c r="A66" s="1" t="s">
        <v>58</v>
      </c>
      <c r="B66" s="7">
        <v>1.1000000000000001</v>
      </c>
      <c r="C66" s="7">
        <v>1.1000000000000001</v>
      </c>
      <c r="D66" s="12">
        <v>1.1000000000000001</v>
      </c>
      <c r="F66" s="13">
        <f>B66/(1+$G$2)</f>
        <v>0.90909090909090917</v>
      </c>
      <c r="G66" s="13">
        <f>C66/(1+$G$2)</f>
        <v>0.90909090909090917</v>
      </c>
      <c r="H66" s="7">
        <f>G66*(1+L66)</f>
        <v>0.90909090909090917</v>
      </c>
      <c r="J66" s="2">
        <f t="shared" si="36"/>
        <v>0</v>
      </c>
      <c r="K66" s="2">
        <f>(H66/F66)-1</f>
        <v>0</v>
      </c>
      <c r="L66" s="2">
        <v>0</v>
      </c>
    </row>
    <row r="67" spans="1:12" ht="15.75" thickBot="1" x14ac:dyDescent="0.3">
      <c r="A67" s="1" t="s">
        <v>59</v>
      </c>
      <c r="B67" s="7">
        <v>1.6</v>
      </c>
      <c r="C67" s="7">
        <v>1.6</v>
      </c>
      <c r="D67" s="12">
        <v>1.6</v>
      </c>
      <c r="F67" s="13">
        <f t="shared" si="41"/>
        <v>1.3223140495867769</v>
      </c>
      <c r="G67" s="13">
        <f t="shared" si="42"/>
        <v>1.3223140495867769</v>
      </c>
      <c r="H67" s="7">
        <f t="shared" ref="H67" si="43">G67*(1+L67)</f>
        <v>1.3223140495867769</v>
      </c>
      <c r="J67" s="2">
        <f t="shared" si="36"/>
        <v>0</v>
      </c>
      <c r="K67" s="2">
        <f t="shared" ref="K67:K68" si="44">(H67/F67)-1</f>
        <v>0</v>
      </c>
      <c r="L67" s="2">
        <v>0</v>
      </c>
    </row>
    <row r="68" spans="1:12" ht="15.75" thickBot="1" x14ac:dyDescent="0.3">
      <c r="A68" s="1" t="s">
        <v>60</v>
      </c>
      <c r="B68" s="7">
        <v>1.6</v>
      </c>
      <c r="C68" s="7">
        <v>1.6</v>
      </c>
      <c r="D68" s="12">
        <v>1.6</v>
      </c>
      <c r="F68" s="13">
        <f t="shared" si="41"/>
        <v>1.3223140495867769</v>
      </c>
      <c r="G68" s="13">
        <f t="shared" si="42"/>
        <v>1.3223140495867769</v>
      </c>
      <c r="H68" s="7">
        <f>G68*(1+L68)</f>
        <v>1.3223140495867769</v>
      </c>
      <c r="J68" s="2">
        <f t="shared" si="36"/>
        <v>0</v>
      </c>
      <c r="K68" s="2">
        <f t="shared" si="44"/>
        <v>0</v>
      </c>
      <c r="L68" s="2">
        <v>0</v>
      </c>
    </row>
    <row r="69" spans="1:12" ht="15.75" thickBot="1" x14ac:dyDescent="0.3">
      <c r="A69" s="28" t="s">
        <v>74</v>
      </c>
      <c r="B69" s="7">
        <v>6.3</v>
      </c>
      <c r="C69" s="7">
        <v>9.6999999999999993</v>
      </c>
      <c r="D69" s="15"/>
      <c r="F69" s="13">
        <f t="shared" si="41"/>
        <v>5.2066115702479339</v>
      </c>
      <c r="G69" s="13">
        <f t="shared" si="42"/>
        <v>8.0165289256198342</v>
      </c>
      <c r="H69" s="11"/>
      <c r="J69" s="2">
        <f t="shared" si="36"/>
        <v>0.53968253968253954</v>
      </c>
      <c r="K69" s="25"/>
      <c r="L69" s="25"/>
    </row>
    <row r="70" spans="1:12" ht="15.75" thickBot="1" x14ac:dyDescent="0.3">
      <c r="A70" s="40" t="s">
        <v>70</v>
      </c>
      <c r="B70" s="41"/>
      <c r="C70" s="41"/>
      <c r="D70" s="41"/>
      <c r="E70" s="31"/>
      <c r="F70" s="31"/>
      <c r="G70" s="31"/>
      <c r="H70" s="31"/>
      <c r="J70" s="2"/>
      <c r="K70" s="2"/>
      <c r="L70" s="2"/>
    </row>
    <row r="71" spans="1:12" ht="15.75" thickBot="1" x14ac:dyDescent="0.3">
      <c r="A71" s="1" t="s">
        <v>68</v>
      </c>
      <c r="B71" s="7">
        <v>38.700000000000003</v>
      </c>
      <c r="C71" s="7">
        <v>49.8</v>
      </c>
      <c r="D71" s="15"/>
      <c r="F71" s="13">
        <f t="shared" ref="F71:F73" si="45">B71/(1+$G$2)</f>
        <v>31.983471074380169</v>
      </c>
      <c r="G71" s="13">
        <f t="shared" ref="G71:G73" si="46">C71/(1+$G$2)</f>
        <v>41.15702479338843</v>
      </c>
      <c r="H71" s="11"/>
      <c r="J71" s="2">
        <f t="shared" si="36"/>
        <v>0.28682170542635643</v>
      </c>
      <c r="K71" s="25"/>
      <c r="L71" s="25"/>
    </row>
    <row r="72" spans="1:12" ht="15.75" thickBot="1" x14ac:dyDescent="0.3">
      <c r="A72" s="1" t="s">
        <v>71</v>
      </c>
      <c r="B72" s="7">
        <v>5.0999999999999996</v>
      </c>
      <c r="C72" s="7">
        <v>5.3</v>
      </c>
      <c r="D72" s="15"/>
      <c r="F72" s="13">
        <f t="shared" si="45"/>
        <v>4.214876033057851</v>
      </c>
      <c r="G72" s="11">
        <f t="shared" si="46"/>
        <v>4.3801652892561984</v>
      </c>
      <c r="H72" s="11"/>
      <c r="J72" s="2">
        <f t="shared" si="36"/>
        <v>3.9215686274509887E-2</v>
      </c>
      <c r="K72" s="25"/>
      <c r="L72" s="25"/>
    </row>
    <row r="73" spans="1:12" ht="15.75" thickBot="1" x14ac:dyDescent="0.3">
      <c r="A73" s="1" t="s">
        <v>72</v>
      </c>
      <c r="B73" s="7">
        <v>5.0999999999999996</v>
      </c>
      <c r="C73" s="7">
        <v>5.3</v>
      </c>
      <c r="D73" s="15"/>
      <c r="F73" s="13">
        <f t="shared" si="45"/>
        <v>4.214876033057851</v>
      </c>
      <c r="G73" s="11">
        <f t="shared" si="46"/>
        <v>4.3801652892561984</v>
      </c>
      <c r="H73" s="11"/>
      <c r="J73" s="2">
        <f t="shared" si="36"/>
        <v>3.9215686274509887E-2</v>
      </c>
      <c r="K73" s="25"/>
      <c r="L73" s="25"/>
    </row>
    <row r="74" spans="1:12" ht="15.75" thickBot="1" x14ac:dyDescent="0.3">
      <c r="A74" s="27" t="s">
        <v>75</v>
      </c>
      <c r="B74" s="15"/>
      <c r="C74" s="15"/>
      <c r="D74" s="12">
        <v>0.5</v>
      </c>
      <c r="F74" s="11"/>
      <c r="G74" s="11"/>
      <c r="H74" s="8">
        <f>D74/(1+G2)</f>
        <v>0.41322314049586778</v>
      </c>
      <c r="J74" s="2"/>
      <c r="K74" s="25"/>
      <c r="L74" s="25"/>
    </row>
    <row r="75" spans="1:12" ht="15.75" thickBot="1" x14ac:dyDescent="0.3">
      <c r="A75" s="40" t="s">
        <v>61</v>
      </c>
      <c r="B75" s="41"/>
      <c r="C75" s="41"/>
      <c r="D75" s="41"/>
      <c r="E75" s="31"/>
      <c r="F75" s="31"/>
      <c r="G75" s="31"/>
      <c r="H75" s="31"/>
      <c r="J75" s="2"/>
      <c r="K75" s="2"/>
      <c r="L75" s="2"/>
    </row>
    <row r="76" spans="1:12" ht="15.75" thickBot="1" x14ac:dyDescent="0.3">
      <c r="A76" s="1" t="s">
        <v>69</v>
      </c>
      <c r="B76" s="7">
        <v>290</v>
      </c>
      <c r="C76" s="15"/>
      <c r="D76" s="15"/>
      <c r="F76" s="13">
        <f>B76</f>
        <v>290</v>
      </c>
      <c r="G76" s="11"/>
      <c r="H76" s="11"/>
      <c r="J76" s="25"/>
      <c r="K76" s="25"/>
      <c r="L76" s="25"/>
    </row>
    <row r="77" spans="1:12" ht="15.75" thickBot="1" x14ac:dyDescent="0.3">
      <c r="A77" s="1" t="s">
        <v>62</v>
      </c>
      <c r="B77" s="7">
        <v>30</v>
      </c>
      <c r="C77" s="15"/>
      <c r="D77" s="15"/>
      <c r="F77" s="13">
        <f>B77</f>
        <v>30</v>
      </c>
      <c r="G77" s="11"/>
      <c r="H77" s="11"/>
      <c r="J77" s="25"/>
      <c r="K77" s="25"/>
      <c r="L77" s="25"/>
    </row>
  </sheetData>
  <mergeCells count="16">
    <mergeCell ref="A58:D58"/>
    <mergeCell ref="A64:D64"/>
    <mergeCell ref="A70:D70"/>
    <mergeCell ref="A75:D75"/>
    <mergeCell ref="A33:D33"/>
    <mergeCell ref="A38:D38"/>
    <mergeCell ref="A42:D42"/>
    <mergeCell ref="A45:D45"/>
    <mergeCell ref="A48:D48"/>
    <mergeCell ref="A50:D50"/>
    <mergeCell ref="A30:D30"/>
    <mergeCell ref="A1:A3"/>
    <mergeCell ref="F1:H1"/>
    <mergeCell ref="A5:D5"/>
    <mergeCell ref="A19:D19"/>
    <mergeCell ref="B1:D2"/>
  </mergeCells>
  <pageMargins left="0.23622047244094491" right="0.23622047244094491" top="0.74803149606299213" bottom="0.74803149606299213" header="0.31496062992125984" footer="0.31496062992125984"/>
  <pageSetup paperSize="9" scale="8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TARIFA 2017 v1 ajustada</vt:lpstr>
      <vt:lpstr>'TARIFA 2017 v1 ajustada'!Títulos_a_imprimir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Moreno</dc:creator>
  <cp:lastModifiedBy>Juan Francisco Arias Morro</cp:lastModifiedBy>
  <cp:lastPrinted>2017-01-26T16:22:37Z</cp:lastPrinted>
  <dcterms:created xsi:type="dcterms:W3CDTF">2016-11-15T08:53:01Z</dcterms:created>
  <dcterms:modified xsi:type="dcterms:W3CDTF">2026-07-06T08:58:36Z</dcterms:modified>
</cp:coreProperties>
</file>