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04"/>
  <workbookPr defaultThemeVersion="124226"/>
  <mc:AlternateContent xmlns:mc="http://schemas.openxmlformats.org/markup-compatibility/2006">
    <mc:Choice Requires="x15">
      <x15ac:absPath xmlns:x15ac="http://schemas.microsoft.com/office/spreadsheetml/2010/11/ac" url="U:\Documents\+ GESTION\01 ADMINITRACION\ASUNTOS ECONOMICOS\TARIFAS\"/>
    </mc:Choice>
  </mc:AlternateContent>
  <xr:revisionPtr revIDLastSave="0" documentId="11_9922E2852D9260711C53F37D945EC03A487F30F7" xr6:coauthVersionLast="47" xr6:coauthVersionMax="47" xr10:uidLastSave="{00000000-0000-0000-0000-000000000000}"/>
  <bookViews>
    <workbookView xWindow="120" yWindow="75" windowWidth="11595" windowHeight="9750" xr2:uid="{00000000-000D-0000-FFFF-FFFF00000000}"/>
  </bookViews>
  <sheets>
    <sheet name="2022 TARIFAS CANINAS " sheetId="1" r:id="rId1"/>
  </sheets>
  <definedNames>
    <definedName name="_xlnm.Print_Area" localSheetId="0">'2022 TARIFAS CANINAS '!$A$1:$G$84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62" i="1" l="1"/>
  <c r="G20" i="1"/>
  <c r="G15" i="1"/>
  <c r="G14" i="1"/>
  <c r="G13" i="1"/>
  <c r="G12" i="1"/>
  <c r="G10" i="1"/>
  <c r="G9" i="1"/>
  <c r="G8" i="1"/>
  <c r="G7" i="1"/>
  <c r="G6" i="1"/>
  <c r="G32" i="1" l="1"/>
  <c r="G31" i="1"/>
  <c r="G30" i="1"/>
  <c r="G29" i="1"/>
  <c r="G61" i="1"/>
  <c r="G60" i="1" l="1"/>
  <c r="G56" i="1"/>
  <c r="G59" i="1"/>
  <c r="G58" i="1"/>
  <c r="G57" i="1"/>
  <c r="G22" i="1" l="1"/>
  <c r="G64" i="1"/>
  <c r="G36" i="1" l="1"/>
  <c r="G35" i="1"/>
  <c r="G34" i="1"/>
  <c r="G33" i="1"/>
  <c r="G66" i="1"/>
  <c r="G65" i="1"/>
  <c r="G42" i="1"/>
  <c r="G41" i="1"/>
  <c r="G40" i="1"/>
  <c r="G19" i="1"/>
  <c r="G18" i="1"/>
  <c r="G17" i="1"/>
  <c r="G16" i="1"/>
  <c r="G38" i="1"/>
  <c r="G37" i="1"/>
  <c r="G28" i="1"/>
  <c r="G27" i="1"/>
  <c r="G26" i="1"/>
  <c r="G25" i="1"/>
  <c r="G24" i="1"/>
  <c r="G23" i="1"/>
  <c r="G67" i="1" l="1"/>
  <c r="G68" i="1" s="1"/>
  <c r="G70" i="1" s="1"/>
  <c r="G76" i="1" s="1"/>
</calcChain>
</file>

<file path=xl/sharedStrings.xml><?xml version="1.0" encoding="utf-8"?>
<sst xmlns="http://schemas.openxmlformats.org/spreadsheetml/2006/main" count="119" uniqueCount="119">
  <si>
    <t xml:space="preserve">SOCIEDAD CANINA </t>
  </si>
  <si>
    <t>FECHA</t>
  </si>
  <si>
    <t>TARIFA AÑO 2023</t>
  </si>
  <si>
    <t>CONCEPTO</t>
  </si>
  <si>
    <t>CÓDIGO</t>
  </si>
  <si>
    <t>CANTIDAD</t>
  </si>
  <si>
    <t>PRECIO</t>
  </si>
  <si>
    <t>IMPORTE</t>
  </si>
  <si>
    <t>INCRIPCIONES EN EL L.O.E./R.R.C.</t>
  </si>
  <si>
    <t>REGISTRO INICIAL DE RAZAS ESPAÑOLAS</t>
  </si>
  <si>
    <t>0505</t>
  </si>
  <si>
    <t>REGISTRO INICIAL DEL RESTO DE RAZAS</t>
  </si>
  <si>
    <t>0501</t>
  </si>
  <si>
    <t>IMPRESO ALTA DE CAMADA</t>
  </si>
  <si>
    <t>0601</t>
  </si>
  <si>
    <t>FORMULARIO IDENTIFICACION (por cachorro al notificar nacimiento) RSCE</t>
  </si>
  <si>
    <t>0103</t>
  </si>
  <si>
    <t>FORMULARIO IDENTIFICACION (por cachorro al notificar nacimiento) EN ORIGEN</t>
  </si>
  <si>
    <t>0104</t>
  </si>
  <si>
    <t>INSCRIPCIÓN CACHORRO RAZAS ESPAÑOLAS BONIFICADAS ( Del 01/05/2023 al 30/04/2024)</t>
  </si>
  <si>
    <t>0113</t>
  </si>
  <si>
    <t>INSCRIPCION CACHORRO</t>
  </si>
  <si>
    <t>0105</t>
  </si>
  <si>
    <t xml:space="preserve">     RECARGO 100% (más de 6 meses y menos de 9) Art. 6.)13 Reglamento L.O.E.</t>
  </si>
  <si>
    <t>0106</t>
  </si>
  <si>
    <t xml:space="preserve">     RECARGO 200% (más de 9 meses, menos de 12) Art. 6.)13 Reglamento L.O.E.</t>
  </si>
  <si>
    <t>0107</t>
  </si>
  <si>
    <r>
      <t xml:space="preserve">     </t>
    </r>
    <r>
      <rPr>
        <b/>
        <sz val="8.5"/>
        <rFont val="Arial"/>
        <family val="2"/>
      </rPr>
      <t>EXCEPCION</t>
    </r>
    <r>
      <rPr>
        <sz val="8.5"/>
        <rFont val="Arial"/>
        <family val="2"/>
      </rPr>
      <t>, RECARGO 300% (más de 12 meses y menos de 18)  Art, 5.k) Reglamento L.O.E.</t>
    </r>
  </si>
  <si>
    <t>0108</t>
  </si>
  <si>
    <t>INSCRIPCION IMPORTADOS</t>
  </si>
  <si>
    <t>0101</t>
  </si>
  <si>
    <r>
      <t xml:space="preserve">INSCRIPCION DE OTROS LIBROS GENEALOGICOS </t>
    </r>
    <r>
      <rPr>
        <b/>
        <sz val="8.5"/>
        <rFont val="Arial"/>
        <family val="2"/>
      </rPr>
      <t>(NO ADMITE PLUS DE URGENCIA)</t>
    </r>
  </si>
  <si>
    <t>0102</t>
  </si>
  <si>
    <t>DUPLICADO JUSTIFICANTE DE INSCRIPCION</t>
  </si>
  <si>
    <t>0109</t>
  </si>
  <si>
    <t>BAJA DE UN PERRO EN EL L.O.E./R.R.C.</t>
  </si>
  <si>
    <t>0110</t>
  </si>
  <si>
    <t>CONFIRMACION DE RAZA (PERROS RAZAS ESPAÑOLAS)</t>
  </si>
  <si>
    <t>0502</t>
  </si>
  <si>
    <t>PEDIGREES Y TRANSFERENCIA DE PROPIEDAD</t>
  </si>
  <si>
    <r>
      <t xml:space="preserve">PEDIGREE </t>
    </r>
    <r>
      <rPr>
        <b/>
        <sz val="8.5"/>
        <rFont val="Arial"/>
        <family val="2"/>
      </rPr>
      <t>CON</t>
    </r>
    <r>
      <rPr>
        <sz val="8.5"/>
        <rFont val="Arial"/>
        <family val="2"/>
      </rPr>
      <t xml:space="preserve"> TRANSFERENCIA TRES GENERACIONES</t>
    </r>
  </si>
  <si>
    <t>0001</t>
  </si>
  <si>
    <r>
      <t xml:space="preserve">PEDIGREE </t>
    </r>
    <r>
      <rPr>
        <b/>
        <sz val="8.5"/>
        <rFont val="Arial"/>
        <family val="2"/>
      </rPr>
      <t>CON</t>
    </r>
    <r>
      <rPr>
        <sz val="8.5"/>
        <rFont val="Arial"/>
        <family val="2"/>
      </rPr>
      <t xml:space="preserve"> TRANSFERENCIA CUATRO GENERACIONES  (SI CONSTAN EN EL L.O.E.)</t>
    </r>
  </si>
  <si>
    <t>0002</t>
  </si>
  <si>
    <t>PEDIGREE PARA PERROS INSCRITOS EN EL R.R.C. (SIN GENEALOGIA COMPLETA)</t>
  </si>
  <si>
    <t>0003</t>
  </si>
  <si>
    <t>PEDIGREE DE EXPORTACION (3 generaciones)</t>
  </si>
  <si>
    <t>0004</t>
  </si>
  <si>
    <t>PEDIGREE DE EXPORTACION (4 generaciones)</t>
  </si>
  <si>
    <t>0005</t>
  </si>
  <si>
    <r>
      <t xml:space="preserve">PEDIGREE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</t>
    </r>
  </si>
  <si>
    <t>0006</t>
  </si>
  <si>
    <r>
      <t xml:space="preserve">PEDIGREE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 CUATRO GENERACIONES  (SI CONSTAN EN EL L.O.E.)</t>
    </r>
  </si>
  <si>
    <t>0007</t>
  </si>
  <si>
    <t>PEDIGREE ORO</t>
  </si>
  <si>
    <t>0015</t>
  </si>
  <si>
    <r>
      <t xml:space="preserve">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</t>
    </r>
  </si>
  <si>
    <t>0016</t>
  </si>
  <si>
    <r>
      <t xml:space="preserve">CAMBIO PEDIGREE TRES GENERACIONES A 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 DE PROPIEDAD</t>
    </r>
  </si>
  <si>
    <t>0017</t>
  </si>
  <si>
    <r>
      <t xml:space="preserve">CAMBIO PEDIGREE CUATRO GENERACIONES A 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TRANSFENCIA DE PROPIEDAD</t>
    </r>
  </si>
  <si>
    <t>0018</t>
  </si>
  <si>
    <t>DUPLICADO DE PEDIGREE TRES GENERACIONES</t>
  </si>
  <si>
    <t>0008</t>
  </si>
  <si>
    <t>DUPLICADO DE PEDIGREE CUATRO GENERACIONES</t>
  </si>
  <si>
    <t>0009</t>
  </si>
  <si>
    <t>DUPLICADO EXPORT PEDIGREE TRES GENERACIONES</t>
  </si>
  <si>
    <t>0010</t>
  </si>
  <si>
    <t>DUPLICADO EXPORT PEDIGREE CUATRO GENERACIONES</t>
  </si>
  <si>
    <t>0011</t>
  </si>
  <si>
    <t>TRANSFERENCIA DE PROPIEDAD EN PEDIGREE, REGISTRO INICIAL O PERRO IMPORTADO</t>
  </si>
  <si>
    <t>0012</t>
  </si>
  <si>
    <t>CESION TEMPORAL DE PROPIEDAD DE  LOS REPRODUCTORES</t>
  </si>
  <si>
    <t>0013</t>
  </si>
  <si>
    <t>AFIJOS</t>
  </si>
  <si>
    <t>SOLICITUD DE AFIJO</t>
  </si>
  <si>
    <t>0401</t>
  </si>
  <si>
    <t>RECTIFICACION DE AFIJO</t>
  </si>
  <si>
    <t>0402</t>
  </si>
  <si>
    <t>DUPLICADO DE AFIJO</t>
  </si>
  <si>
    <t>0403</t>
  </si>
  <si>
    <t>TRABAJO R.C.I. / OBEDICENCIA</t>
  </si>
  <si>
    <t>LICENCIA DEPORTIVA INICIAL</t>
  </si>
  <si>
    <t>RENOVACION ANUAL LICENCIA DEPORTIVA</t>
  </si>
  <si>
    <t>CUOTA ANUAL GRUPO DE TRABAJO R.C.I. / OBEDIENCIA</t>
  </si>
  <si>
    <t>CUOTA ANUAL CONJUNTA GRUPO DE TRABAJO R.C.I. / OBEDIENCIA</t>
  </si>
  <si>
    <t xml:space="preserve">CERTIFICADO DE TRABAJO </t>
  </si>
  <si>
    <t>CARTILLA DE TRABAJO R.C.I.</t>
  </si>
  <si>
    <t>AGILITY</t>
  </si>
  <si>
    <t>LICENCIA NUEVA INDIVIDUAL DE AGILITY</t>
  </si>
  <si>
    <t>RENOVACION LICENCIA INDIVIDUAL DE AGILITY</t>
  </si>
  <si>
    <t>CARTILLAS DE AGILITY</t>
  </si>
  <si>
    <t>CUOTA ANUAL CLUB AGILITY</t>
  </si>
  <si>
    <t>MUESTRA, RASTRO Y MADRIGUERA</t>
  </si>
  <si>
    <t>CARTILLA PARA PRUEBAS DEPORTIVAS DE CAMPO</t>
  </si>
  <si>
    <t>IMPRESO PARA PRUEBAS  DE C.A.C.T. - C.A.C.I.T.</t>
  </si>
  <si>
    <t>1002</t>
  </si>
  <si>
    <t>IMPRESO DIPLOMA DE INICIACION (Original y 3 copias)</t>
  </si>
  <si>
    <t>1003</t>
  </si>
  <si>
    <t>IMPRESO PRUEBAS APTITUDES NATURALES (Original y 3 copias)</t>
  </si>
  <si>
    <t>1004</t>
  </si>
  <si>
    <t>CARTILLA PARA PERROS DE RASTRO DEL GRUPO 6º</t>
  </si>
  <si>
    <t>CARTILLA PARA PRUEBAS DEPORTIVAS POLIVALENTES - PERRO DE AGUA ESPAÑOL</t>
  </si>
  <si>
    <t>0750</t>
  </si>
  <si>
    <t>IMPRESO HOJA DE CALIFICACIÓN - PRUEBAS PERRO DE AGUA ESPAÑOL</t>
  </si>
  <si>
    <t>0756</t>
  </si>
  <si>
    <t>VARIOS</t>
  </si>
  <si>
    <t>POR PERRO INSCRITO EN CADA PRUEBA CON CAC / CACT</t>
  </si>
  <si>
    <t>2023 v1</t>
  </si>
  <si>
    <t>SUMA … … … … … … …</t>
  </si>
  <si>
    <t>I.V.A. … …</t>
  </si>
  <si>
    <t>TOTAL REMESA</t>
  </si>
  <si>
    <t>FACTURAS PENDIENTES NUMEROS</t>
  </si>
  <si>
    <t>ABONOS PENDIENTES NUMEROS</t>
  </si>
  <si>
    <t>TOTAL AUTOLIQUIDACION</t>
  </si>
  <si>
    <t>Por el total de esta autoliquidación acompañamos:</t>
  </si>
  <si>
    <t>Real Sociedad Canina de España</t>
  </si>
  <si>
    <t xml:space="preserve">Calle Maldonado, 56 </t>
  </si>
  <si>
    <t>28006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</si>
</sst>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;\-###,##0.00;;@"/>
    <numFmt numFmtId="165" formatCode="##,##0;\-##,##0;;@"/>
  </numFmts>
  <fonts count="17">
    <font>
      <sz val="10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Baskerville Old Face"/>
      <family val="1"/>
    </font>
    <font>
      <b/>
      <sz val="22"/>
      <name val="Baskerville Old Face"/>
      <family val="1"/>
    </font>
    <font>
      <sz val="7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vertical="center"/>
    </xf>
    <xf numFmtId="0" fontId="7" fillId="2" borderId="0" xfId="0" applyFont="1" applyFill="1" applyAlignment="1">
      <alignment horizontal="right" indent="1"/>
    </xf>
    <xf numFmtId="0" fontId="0" fillId="2" borderId="0" xfId="0" applyFill="1" applyAlignment="1">
      <alignment horizontal="right" indent="1"/>
    </xf>
    <xf numFmtId="14" fontId="0" fillId="2" borderId="30" xfId="0" applyNumberFormat="1" applyFill="1" applyBorder="1" applyAlignment="1" applyProtection="1">
      <alignment horizontal="center"/>
      <protection locked="0"/>
    </xf>
    <xf numFmtId="0" fontId="0" fillId="2" borderId="0" xfId="0" applyFill="1"/>
    <xf numFmtId="0" fontId="1" fillId="2" borderId="0" xfId="0" applyFont="1" applyFill="1"/>
    <xf numFmtId="0" fontId="1" fillId="2" borderId="10" xfId="0" applyFont="1" applyFill="1" applyBorder="1" applyAlignment="1">
      <alignment horizontal="center" vertical="center"/>
    </xf>
    <xf numFmtId="3" fontId="10" fillId="2" borderId="6" xfId="0" applyNumberFormat="1" applyFont="1" applyFill="1" applyBorder="1" applyAlignment="1">
      <alignment horizontal="center" vertical="center"/>
    </xf>
    <xf numFmtId="10" fontId="10" fillId="2" borderId="6" xfId="0" applyNumberFormat="1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/>
    </xf>
    <xf numFmtId="0" fontId="6" fillId="2" borderId="8" xfId="0" quotePrefix="1" applyFont="1" applyFill="1" applyBorder="1" applyAlignment="1">
      <alignment horizontal="center" vertical="center"/>
    </xf>
    <xf numFmtId="165" fontId="10" fillId="2" borderId="15" xfId="0" applyNumberFormat="1" applyFont="1" applyFill="1" applyBorder="1" applyAlignment="1" applyProtection="1">
      <alignment horizontal="right" vertical="center" indent="1"/>
      <protection locked="0"/>
    </xf>
    <xf numFmtId="4" fontId="10" fillId="2" borderId="4" xfId="0" applyNumberFormat="1" applyFont="1" applyFill="1" applyBorder="1" applyAlignment="1">
      <alignment horizontal="right" vertical="center" indent="1"/>
    </xf>
    <xf numFmtId="164" fontId="5" fillId="2" borderId="21" xfId="0" applyNumberFormat="1" applyFont="1" applyFill="1" applyBorder="1" applyAlignment="1">
      <alignment horizontal="right" vertical="center" indent="1"/>
    </xf>
    <xf numFmtId="165" fontId="10" fillId="2" borderId="20" xfId="0" applyNumberFormat="1" applyFont="1" applyFill="1" applyBorder="1" applyAlignment="1" applyProtection="1">
      <alignment horizontal="right" vertical="center" indent="1"/>
      <protection locked="0"/>
    </xf>
    <xf numFmtId="0" fontId="9" fillId="2" borderId="8" xfId="0" applyFont="1" applyFill="1" applyBorder="1" applyAlignment="1">
      <alignment horizontal="left" vertical="center" indent="1"/>
    </xf>
    <xf numFmtId="0" fontId="9" fillId="2" borderId="22" xfId="0" applyFont="1" applyFill="1" applyBorder="1" applyAlignment="1">
      <alignment horizontal="left" vertical="center" indent="1"/>
    </xf>
    <xf numFmtId="0" fontId="9" fillId="2" borderId="19" xfId="0" applyFont="1" applyFill="1" applyBorder="1" applyAlignment="1">
      <alignment horizontal="left" vertical="center" wrapText="1" indent="1"/>
    </xf>
    <xf numFmtId="0" fontId="9" fillId="2" borderId="4" xfId="0" applyFont="1" applyFill="1" applyBorder="1" applyAlignment="1">
      <alignment horizontal="left" vertical="center" wrapText="1" indent="1"/>
    </xf>
    <xf numFmtId="0" fontId="9" fillId="2" borderId="13" xfId="0" applyFont="1" applyFill="1" applyBorder="1" applyAlignment="1">
      <alignment horizontal="left" vertical="center" wrapText="1" indent="1"/>
    </xf>
    <xf numFmtId="0" fontId="0" fillId="2" borderId="14" xfId="0" applyFill="1" applyBorder="1" applyAlignment="1">
      <alignment horizontal="left" vertical="center" wrapText="1" indent="1"/>
    </xf>
    <xf numFmtId="0" fontId="4" fillId="2" borderId="14" xfId="0" applyFont="1" applyFill="1" applyBorder="1" applyAlignment="1">
      <alignment horizontal="center" vertical="center" wrapText="1"/>
    </xf>
    <xf numFmtId="4" fontId="0" fillId="2" borderId="11" xfId="0" applyNumberFormat="1" applyFill="1" applyBorder="1" applyAlignment="1">
      <alignment vertical="center"/>
    </xf>
    <xf numFmtId="0" fontId="2" fillId="2" borderId="4" xfId="0" applyFont="1" applyFill="1" applyBorder="1" applyAlignment="1">
      <alignment horizontal="left" vertical="center" indent="1"/>
    </xf>
    <xf numFmtId="4" fontId="4" fillId="2" borderId="2" xfId="0" applyNumberFormat="1" applyFont="1" applyFill="1" applyBorder="1" applyAlignment="1">
      <alignment vertical="center"/>
    </xf>
    <xf numFmtId="4" fontId="2" fillId="2" borderId="3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left" vertical="center" indent="1"/>
    </xf>
    <xf numFmtId="4" fontId="4" fillId="2" borderId="1" xfId="0" applyNumberFormat="1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vertical="center"/>
    </xf>
    <xf numFmtId="4" fontId="3" fillId="2" borderId="2" xfId="0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horizontal="left" vertical="center" indent="1"/>
    </xf>
    <xf numFmtId="4" fontId="3" fillId="2" borderId="5" xfId="0" applyNumberFormat="1" applyFont="1" applyFill="1" applyBorder="1" applyAlignment="1">
      <alignment vertical="center"/>
    </xf>
    <xf numFmtId="0" fontId="9" fillId="2" borderId="4" xfId="0" applyFont="1" applyFill="1" applyBorder="1" applyAlignment="1">
      <alignment horizontal="left" vertical="center" indent="1"/>
    </xf>
    <xf numFmtId="0" fontId="9" fillId="2" borderId="13" xfId="0" applyFont="1" applyFill="1" applyBorder="1" applyAlignment="1">
      <alignment horizontal="left" vertical="center" indent="1"/>
    </xf>
    <xf numFmtId="0" fontId="0" fillId="2" borderId="14" xfId="0" applyFill="1" applyBorder="1" applyAlignment="1">
      <alignment horizontal="left" vertical="center" indent="1"/>
    </xf>
    <xf numFmtId="0" fontId="0" fillId="2" borderId="13" xfId="0" applyFill="1" applyBorder="1" applyAlignment="1">
      <alignment horizontal="left" vertical="center" indent="1"/>
    </xf>
    <xf numFmtId="0" fontId="6" fillId="2" borderId="8" xfId="0" applyFont="1" applyFill="1" applyBorder="1" applyAlignment="1">
      <alignment horizontal="left" vertical="center" indent="1"/>
    </xf>
    <xf numFmtId="0" fontId="6" fillId="2" borderId="24" xfId="0" applyFont="1" applyFill="1" applyBorder="1" applyAlignment="1">
      <alignment horizontal="left" vertical="center" indent="1"/>
    </xf>
    <xf numFmtId="165" fontId="10" fillId="2" borderId="26" xfId="0" applyNumberFormat="1" applyFont="1" applyFill="1" applyBorder="1" applyAlignment="1" applyProtection="1">
      <alignment horizontal="right" vertical="center" indent="1"/>
      <protection locked="0"/>
    </xf>
    <xf numFmtId="4" fontId="10" fillId="2" borderId="24" xfId="0" applyNumberFormat="1" applyFont="1" applyFill="1" applyBorder="1" applyAlignment="1">
      <alignment horizontal="right" vertical="center" indent="1"/>
    </xf>
    <xf numFmtId="14" fontId="15" fillId="2" borderId="27" xfId="0" applyNumberFormat="1" applyFont="1" applyFill="1" applyBorder="1" applyAlignment="1">
      <alignment horizontal="left"/>
    </xf>
    <xf numFmtId="0" fontId="15" fillId="2" borderId="27" xfId="0" applyFont="1" applyFill="1" applyBorder="1"/>
    <xf numFmtId="0" fontId="0" fillId="2" borderId="27" xfId="0" applyFill="1" applyBorder="1"/>
    <xf numFmtId="164" fontId="5" fillId="2" borderId="23" xfId="0" applyNumberFormat="1" applyFont="1" applyFill="1" applyBorder="1" applyAlignment="1">
      <alignment horizontal="right" vertical="center" indent="1"/>
    </xf>
    <xf numFmtId="10" fontId="11" fillId="2" borderId="0" xfId="0" applyNumberFormat="1" applyFont="1" applyFill="1"/>
    <xf numFmtId="164" fontId="5" fillId="2" borderId="18" xfId="0" applyNumberFormat="1" applyFont="1" applyFill="1" applyBorder="1" applyAlignment="1">
      <alignment horizontal="right" vertical="center" indent="1"/>
    </xf>
    <xf numFmtId="164" fontId="5" fillId="2" borderId="0" xfId="0" applyNumberFormat="1" applyFont="1" applyFill="1" applyAlignment="1">
      <alignment horizontal="right" vertical="center" indent="1"/>
    </xf>
    <xf numFmtId="0" fontId="0" fillId="2" borderId="0" xfId="0" applyFill="1" applyAlignment="1">
      <alignment horizontal="right"/>
    </xf>
    <xf numFmtId="164" fontId="5" fillId="2" borderId="16" xfId="0" applyNumberFormat="1" applyFont="1" applyFill="1" applyBorder="1" applyAlignment="1">
      <alignment horizontal="right" vertical="center" indent="1"/>
    </xf>
    <xf numFmtId="164" fontId="0" fillId="2" borderId="0" xfId="0" applyNumberFormat="1" applyFill="1"/>
    <xf numFmtId="164" fontId="5" fillId="2" borderId="16" xfId="0" applyNumberFormat="1" applyFont="1" applyFill="1" applyBorder="1" applyAlignment="1" applyProtection="1">
      <alignment horizontal="right" vertical="center" indent="1"/>
      <protection locked="0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164" fontId="0" fillId="2" borderId="0" xfId="0" applyNumberFormat="1" applyFill="1" applyAlignment="1">
      <alignment horizontal="right" indent="1"/>
    </xf>
    <xf numFmtId="0" fontId="5" fillId="2" borderId="0" xfId="0" applyFont="1" applyFill="1" applyAlignment="1">
      <alignment horizontal="right"/>
    </xf>
    <xf numFmtId="0" fontId="5" fillId="2" borderId="0" xfId="0" applyFont="1" applyFill="1"/>
    <xf numFmtId="0" fontId="14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0" fontId="9" fillId="2" borderId="4" xfId="0" applyFont="1" applyFill="1" applyBorder="1" applyAlignment="1">
      <alignment horizontal="left" vertical="center" indent="1"/>
    </xf>
    <xf numFmtId="0" fontId="9" fillId="2" borderId="13" xfId="0" applyFont="1" applyFill="1" applyBorder="1" applyAlignment="1">
      <alignment horizontal="left" vertical="center" indent="1"/>
    </xf>
    <xf numFmtId="0" fontId="0" fillId="2" borderId="14" xfId="0" applyFill="1" applyBorder="1" applyAlignment="1">
      <alignment horizontal="left" vertical="center" indent="1"/>
    </xf>
    <xf numFmtId="0" fontId="9" fillId="2" borderId="14" xfId="0" applyFont="1" applyFill="1" applyBorder="1" applyAlignment="1">
      <alignment horizontal="left" vertical="center" indent="1"/>
    </xf>
    <xf numFmtId="0" fontId="9" fillId="2" borderId="4" xfId="0" applyFont="1" applyFill="1" applyBorder="1" applyAlignment="1">
      <alignment horizontal="left" vertical="center" wrapText="1" indent="1"/>
    </xf>
    <xf numFmtId="0" fontId="9" fillId="2" borderId="13" xfId="0" applyFont="1" applyFill="1" applyBorder="1" applyAlignment="1">
      <alignment horizontal="left" vertical="center" wrapText="1" indent="1"/>
    </xf>
    <xf numFmtId="0" fontId="0" fillId="2" borderId="14" xfId="0" applyFill="1" applyBorder="1" applyAlignment="1">
      <alignment horizontal="left" vertical="center" wrapText="1" inden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2" fillId="2" borderId="28" xfId="0" applyFont="1" applyFill="1" applyBorder="1" applyAlignment="1" applyProtection="1">
      <alignment horizontal="left" indent="1"/>
      <protection locked="0"/>
    </xf>
    <xf numFmtId="0" fontId="0" fillId="2" borderId="29" xfId="0" applyFill="1" applyBorder="1" applyAlignment="1">
      <alignment horizontal="right"/>
    </xf>
    <xf numFmtId="0" fontId="0" fillId="2" borderId="13" xfId="0" applyFill="1" applyBorder="1" applyAlignment="1">
      <alignment horizontal="left" vertical="center" wrapText="1" indent="1"/>
    </xf>
    <xf numFmtId="0" fontId="2" fillId="2" borderId="24" xfId="0" applyFont="1" applyFill="1" applyBorder="1" applyAlignment="1" applyProtection="1">
      <alignment horizontal="left" vertical="center" indent="1"/>
      <protection locked="0"/>
    </xf>
    <xf numFmtId="0" fontId="2" fillId="2" borderId="32" xfId="0" applyFont="1" applyFill="1" applyBorder="1" applyAlignment="1" applyProtection="1">
      <alignment horizontal="left" vertical="center" indent="1"/>
      <protection locked="0"/>
    </xf>
    <xf numFmtId="0" fontId="0" fillId="2" borderId="25" xfId="0" applyFill="1" applyBorder="1" applyAlignment="1" applyProtection="1">
      <alignment horizontal="left" vertical="center" indent="1"/>
      <protection locked="0"/>
    </xf>
    <xf numFmtId="0" fontId="0" fillId="2" borderId="28" xfId="0" applyFill="1" applyBorder="1" applyAlignment="1" applyProtection="1">
      <alignment horizontal="left" indent="1"/>
      <protection locked="0"/>
    </xf>
    <xf numFmtId="0" fontId="4" fillId="2" borderId="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3" fontId="1" fillId="2" borderId="31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3" fontId="16" fillId="2" borderId="0" xfId="0" applyNumberFormat="1" applyFont="1" applyFill="1" applyAlignment="1" applyProtection="1">
      <alignment horizontal="left" indent="1"/>
      <protection locked="0"/>
    </xf>
    <xf numFmtId="0" fontId="8" fillId="2" borderId="8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0" fontId="2" fillId="2" borderId="13" xfId="0" applyFont="1" applyFill="1" applyBorder="1" applyAlignment="1">
      <alignment horizontal="left" vertical="center" indent="1"/>
    </xf>
    <xf numFmtId="0" fontId="2" fillId="2" borderId="4" xfId="0" applyFont="1" applyFill="1" applyBorder="1" applyAlignment="1" applyProtection="1">
      <alignment horizontal="left" vertical="center" indent="1"/>
      <protection locked="0"/>
    </xf>
    <xf numFmtId="0" fontId="2" fillId="2" borderId="13" xfId="0" applyFont="1" applyFill="1" applyBorder="1" applyAlignment="1" applyProtection="1">
      <alignment horizontal="left" vertical="center" indent="1"/>
      <protection locked="0"/>
    </xf>
    <xf numFmtId="0" fontId="0" fillId="2" borderId="14" xfId="0" applyFill="1" applyBorder="1" applyAlignment="1" applyProtection="1">
      <alignment horizontal="left" vertical="center" indent="1"/>
      <protection locked="0"/>
    </xf>
    <xf numFmtId="0" fontId="12" fillId="2" borderId="28" xfId="0" applyFont="1" applyFill="1" applyBorder="1" applyAlignment="1" applyProtection="1">
      <protection locked="0"/>
    </xf>
    <xf numFmtId="0" fontId="0" fillId="2" borderId="28" xfId="0" applyFill="1" applyBorder="1" applyAlignment="1" applyProtection="1">
      <protection locked="0"/>
    </xf>
    <xf numFmtId="0" fontId="0" fillId="2" borderId="0" xfId="0" applyFill="1" applyAlignment="1"/>
    <xf numFmtId="0" fontId="0" fillId="2" borderId="13" xfId="0" applyFill="1" applyBorder="1" applyAlignment="1"/>
    <xf numFmtId="0" fontId="0" fillId="2" borderId="14" xfId="0" applyFill="1" applyBorder="1" applyAlignment="1"/>
    <xf numFmtId="0" fontId="0" fillId="2" borderId="22" xfId="0" applyFill="1" applyBorder="1" applyAlignment="1"/>
    <xf numFmtId="0" fontId="0" fillId="2" borderId="19" xfId="0" applyFill="1" applyBorder="1" applyAlignment="1"/>
    <xf numFmtId="0" fontId="0" fillId="2" borderId="27" xfId="0" applyFill="1" applyBorder="1" applyAlignment="1"/>
    <xf numFmtId="0" fontId="0" fillId="2" borderId="29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376766</xdr:colOff>
      <xdr:row>77</xdr:row>
      <xdr:rowOff>63500</xdr:rowOff>
    </xdr:from>
    <xdr:to>
      <xdr:col>0</xdr:col>
      <xdr:colOff>1214966</xdr:colOff>
      <xdr:row>83</xdr:row>
      <xdr:rowOff>83608</xdr:rowOff>
    </xdr:to>
    <xdr:pic>
      <xdr:nvPicPr>
        <xdr:cNvPr id="2" name="1 Imagen" descr="RSCE logo corona nueva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6766" y="10964333"/>
          <a:ext cx="838200" cy="1099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zoomScale="90" zoomScaleNormal="90" workbookViewId="0">
      <selection activeCell="E58" sqref="E58"/>
    </sheetView>
  </sheetViews>
  <sheetFormatPr defaultColWidth="11.42578125" defaultRowHeight="12.75"/>
  <cols>
    <col min="1" max="1" width="35.42578125" customWidth="1"/>
    <col min="2" max="2" width="4" customWidth="1"/>
    <col min="3" max="3" width="43.28515625" customWidth="1"/>
    <col min="4" max="4" width="7.5703125" customWidth="1"/>
    <col min="5" max="5" width="9.7109375" customWidth="1"/>
    <col min="6" max="6" width="8.7109375" customWidth="1"/>
    <col min="7" max="7" width="13.42578125" customWidth="1"/>
    <col min="8" max="8" width="11.5703125" customWidth="1"/>
  </cols>
  <sheetData>
    <row r="1" spans="1:7" ht="18">
      <c r="A1" s="2" t="s">
        <v>0</v>
      </c>
      <c r="B1" s="2"/>
      <c r="C1" s="94"/>
      <c r="D1" s="95"/>
      <c r="E1" s="95"/>
      <c r="F1" s="95"/>
      <c r="G1" s="95"/>
    </row>
    <row r="2" spans="1:7" ht="21.75" customHeight="1">
      <c r="A2" s="3" t="s">
        <v>1</v>
      </c>
      <c r="B2" s="3"/>
      <c r="C2" s="4"/>
      <c r="D2" s="96"/>
      <c r="E2" s="96"/>
      <c r="F2" s="96"/>
      <c r="G2" s="96"/>
    </row>
    <row r="3" spans="1:7" ht="21" thickBot="1">
      <c r="A3" s="5"/>
      <c r="B3" s="5"/>
      <c r="C3" s="6" t="s">
        <v>2</v>
      </c>
      <c r="D3" s="5"/>
      <c r="E3" s="5"/>
      <c r="F3" s="5"/>
      <c r="G3" s="7"/>
    </row>
    <row r="4" spans="1:7" ht="39" customHeight="1" thickTop="1">
      <c r="A4" s="83" t="s">
        <v>3</v>
      </c>
      <c r="B4" s="84"/>
      <c r="C4" s="85"/>
      <c r="D4" s="8" t="s">
        <v>4</v>
      </c>
      <c r="E4" s="8" t="s">
        <v>5</v>
      </c>
      <c r="F4" s="9" t="s">
        <v>6</v>
      </c>
      <c r="G4" s="10" t="s">
        <v>7</v>
      </c>
    </row>
    <row r="5" spans="1:7" s="1" customFormat="1" ht="15.95" customHeight="1">
      <c r="A5" s="66" t="s">
        <v>8</v>
      </c>
      <c r="B5" s="67"/>
      <c r="C5" s="67"/>
      <c r="D5" s="97"/>
      <c r="E5" s="97"/>
      <c r="F5" s="97"/>
      <c r="G5" s="98"/>
    </row>
    <row r="6" spans="1:7" s="1" customFormat="1" ht="12.75" customHeight="1">
      <c r="A6" s="59" t="s">
        <v>9</v>
      </c>
      <c r="B6" s="60"/>
      <c r="C6" s="61"/>
      <c r="D6" s="11" t="s">
        <v>10</v>
      </c>
      <c r="E6" s="12">
        <v>0</v>
      </c>
      <c r="F6" s="13">
        <v>11.57</v>
      </c>
      <c r="G6" s="14">
        <f>E6*F6</f>
        <v>0</v>
      </c>
    </row>
    <row r="7" spans="1:7" s="1" customFormat="1" ht="12.75" customHeight="1">
      <c r="A7" s="59" t="s">
        <v>11</v>
      </c>
      <c r="B7" s="60"/>
      <c r="C7" s="62"/>
      <c r="D7" s="11" t="s">
        <v>12</v>
      </c>
      <c r="E7" s="15">
        <v>0</v>
      </c>
      <c r="F7" s="13">
        <v>15.99</v>
      </c>
      <c r="G7" s="14">
        <f>E7*F7</f>
        <v>0</v>
      </c>
    </row>
    <row r="8" spans="1:7" s="1" customFormat="1" ht="12.75" customHeight="1">
      <c r="A8" s="59" t="s">
        <v>13</v>
      </c>
      <c r="B8" s="60"/>
      <c r="C8" s="61"/>
      <c r="D8" s="11" t="s">
        <v>14</v>
      </c>
      <c r="E8" s="15">
        <v>0</v>
      </c>
      <c r="F8" s="13">
        <v>1.1499999999999999</v>
      </c>
      <c r="G8" s="14">
        <f>E8*F8</f>
        <v>0</v>
      </c>
    </row>
    <row r="9" spans="1:7" s="1" customFormat="1" ht="12.75" customHeight="1">
      <c r="A9" s="59" t="s">
        <v>15</v>
      </c>
      <c r="B9" s="60"/>
      <c r="C9" s="61"/>
      <c r="D9" s="11" t="s">
        <v>16</v>
      </c>
      <c r="E9" s="12">
        <v>0</v>
      </c>
      <c r="F9" s="13">
        <v>2.75</v>
      </c>
      <c r="G9" s="14">
        <f t="shared" ref="G9:G15" si="0">E9*F9</f>
        <v>0</v>
      </c>
    </row>
    <row r="10" spans="1:7" s="1" customFormat="1" ht="12.75" customHeight="1">
      <c r="A10" s="59" t="s">
        <v>17</v>
      </c>
      <c r="B10" s="60"/>
      <c r="C10" s="61"/>
      <c r="D10" s="11" t="s">
        <v>18</v>
      </c>
      <c r="E10" s="12">
        <v>0</v>
      </c>
      <c r="F10" s="13">
        <v>1.98</v>
      </c>
      <c r="G10" s="14">
        <f t="shared" si="0"/>
        <v>0</v>
      </c>
    </row>
    <row r="11" spans="1:7" s="1" customFormat="1" ht="12.75" customHeight="1">
      <c r="A11" s="33" t="s">
        <v>19</v>
      </c>
      <c r="B11" s="34"/>
      <c r="C11" s="35"/>
      <c r="D11" s="11" t="s">
        <v>20</v>
      </c>
      <c r="E11" s="12"/>
      <c r="F11" s="13">
        <v>4.51</v>
      </c>
      <c r="G11" s="14">
        <f t="shared" si="0"/>
        <v>0</v>
      </c>
    </row>
    <row r="12" spans="1:7" s="1" customFormat="1" ht="12.75" customHeight="1">
      <c r="A12" s="59" t="s">
        <v>21</v>
      </c>
      <c r="B12" s="60"/>
      <c r="C12" s="61"/>
      <c r="D12" s="11" t="s">
        <v>22</v>
      </c>
      <c r="E12" s="12">
        <v>0</v>
      </c>
      <c r="F12" s="13">
        <v>9.01</v>
      </c>
      <c r="G12" s="14">
        <f t="shared" si="0"/>
        <v>0</v>
      </c>
    </row>
    <row r="13" spans="1:7" s="1" customFormat="1" ht="12.75" customHeight="1">
      <c r="A13" s="59" t="s">
        <v>23</v>
      </c>
      <c r="B13" s="60"/>
      <c r="C13" s="61"/>
      <c r="D13" s="11" t="s">
        <v>24</v>
      </c>
      <c r="E13" s="12">
        <v>0</v>
      </c>
      <c r="F13" s="13">
        <v>9.01</v>
      </c>
      <c r="G13" s="14">
        <f t="shared" si="0"/>
        <v>0</v>
      </c>
    </row>
    <row r="14" spans="1:7" s="1" customFormat="1" ht="12.75" customHeight="1">
      <c r="A14" s="59" t="s">
        <v>25</v>
      </c>
      <c r="B14" s="60"/>
      <c r="C14" s="61"/>
      <c r="D14" s="11" t="s">
        <v>26</v>
      </c>
      <c r="E14" s="12">
        <v>0</v>
      </c>
      <c r="F14" s="13">
        <v>18.059999999999999</v>
      </c>
      <c r="G14" s="14">
        <f t="shared" si="0"/>
        <v>0</v>
      </c>
    </row>
    <row r="15" spans="1:7" s="1" customFormat="1" ht="12.75" customHeight="1">
      <c r="A15" s="59" t="s">
        <v>27</v>
      </c>
      <c r="B15" s="60"/>
      <c r="C15" s="61"/>
      <c r="D15" s="11" t="s">
        <v>28</v>
      </c>
      <c r="E15" s="12">
        <v>0</v>
      </c>
      <c r="F15" s="13">
        <v>27.06</v>
      </c>
      <c r="G15" s="14">
        <f t="shared" si="0"/>
        <v>0</v>
      </c>
    </row>
    <row r="16" spans="1:7" s="1" customFormat="1" ht="12.75" customHeight="1">
      <c r="A16" s="59" t="s">
        <v>29</v>
      </c>
      <c r="B16" s="60"/>
      <c r="C16" s="61"/>
      <c r="D16" s="11" t="s">
        <v>30</v>
      </c>
      <c r="E16" s="15">
        <v>0</v>
      </c>
      <c r="F16" s="13">
        <v>20.02</v>
      </c>
      <c r="G16" s="14">
        <f>E16*F16</f>
        <v>0</v>
      </c>
    </row>
    <row r="17" spans="1:7" s="1" customFormat="1" ht="12.75" customHeight="1">
      <c r="A17" s="59" t="s">
        <v>31</v>
      </c>
      <c r="B17" s="60"/>
      <c r="C17" s="61"/>
      <c r="D17" s="11" t="s">
        <v>32</v>
      </c>
      <c r="E17" s="12">
        <v>0</v>
      </c>
      <c r="F17" s="13">
        <v>20.02</v>
      </c>
      <c r="G17" s="14">
        <f>E17*F17</f>
        <v>0</v>
      </c>
    </row>
    <row r="18" spans="1:7" s="1" customFormat="1" ht="12.75" customHeight="1">
      <c r="A18" s="59" t="s">
        <v>33</v>
      </c>
      <c r="B18" s="60"/>
      <c r="C18" s="61"/>
      <c r="D18" s="11" t="s">
        <v>34</v>
      </c>
      <c r="E18" s="12">
        <v>0</v>
      </c>
      <c r="F18" s="13">
        <v>5.38</v>
      </c>
      <c r="G18" s="14">
        <f t="shared" ref="G18:G19" si="1">E18*F18</f>
        <v>0</v>
      </c>
    </row>
    <row r="19" spans="1:7" s="1" customFormat="1" ht="12.75" customHeight="1">
      <c r="A19" s="59" t="s">
        <v>35</v>
      </c>
      <c r="B19" s="60"/>
      <c r="C19" s="61"/>
      <c r="D19" s="11" t="s">
        <v>36</v>
      </c>
      <c r="E19" s="12">
        <v>0</v>
      </c>
      <c r="F19" s="13">
        <v>19.989999999999998</v>
      </c>
      <c r="G19" s="14">
        <f t="shared" si="1"/>
        <v>0</v>
      </c>
    </row>
    <row r="20" spans="1:7" s="1" customFormat="1" ht="12.75" customHeight="1">
      <c r="A20" s="59" t="s">
        <v>37</v>
      </c>
      <c r="B20" s="60"/>
      <c r="C20" s="62"/>
      <c r="D20" s="11" t="s">
        <v>38</v>
      </c>
      <c r="E20" s="15">
        <v>0</v>
      </c>
      <c r="F20" s="13">
        <v>4.46</v>
      </c>
      <c r="G20" s="14">
        <f>E20*F20</f>
        <v>0</v>
      </c>
    </row>
    <row r="21" spans="1:7" s="1" customFormat="1" ht="15.95" customHeight="1">
      <c r="A21" s="68" t="s">
        <v>39</v>
      </c>
      <c r="B21" s="69"/>
      <c r="C21" s="69"/>
      <c r="D21" s="97"/>
      <c r="E21" s="97"/>
      <c r="F21" s="97"/>
      <c r="G21" s="98"/>
    </row>
    <row r="22" spans="1:7" s="1" customFormat="1" ht="12.75" customHeight="1">
      <c r="A22" s="59" t="s">
        <v>40</v>
      </c>
      <c r="B22" s="60"/>
      <c r="C22" s="61"/>
      <c r="D22" s="11" t="s">
        <v>41</v>
      </c>
      <c r="E22" s="15">
        <v>0</v>
      </c>
      <c r="F22" s="13">
        <v>22.72</v>
      </c>
      <c r="G22" s="14">
        <f>E22*F22</f>
        <v>0</v>
      </c>
    </row>
    <row r="23" spans="1:7" s="1" customFormat="1" ht="12.75" customHeight="1">
      <c r="A23" s="16" t="s">
        <v>42</v>
      </c>
      <c r="B23" s="17"/>
      <c r="C23" s="18"/>
      <c r="D23" s="11" t="s">
        <v>43</v>
      </c>
      <c r="E23" s="12">
        <v>0</v>
      </c>
      <c r="F23" s="13">
        <v>25.62</v>
      </c>
      <c r="G23" s="14">
        <f t="shared" ref="G23:G38" si="2">E23*F23</f>
        <v>0</v>
      </c>
    </row>
    <row r="24" spans="1:7" s="1" customFormat="1" ht="12.75" customHeight="1">
      <c r="A24" s="16" t="s">
        <v>44</v>
      </c>
      <c r="B24" s="17"/>
      <c r="C24" s="18"/>
      <c r="D24" s="11" t="s">
        <v>45</v>
      </c>
      <c r="E24" s="12">
        <v>0</v>
      </c>
      <c r="F24" s="13">
        <v>13.19</v>
      </c>
      <c r="G24" s="14">
        <f t="shared" si="2"/>
        <v>0</v>
      </c>
    </row>
    <row r="25" spans="1:7" s="1" customFormat="1" ht="12.75" customHeight="1">
      <c r="A25" s="59" t="s">
        <v>46</v>
      </c>
      <c r="B25" s="60"/>
      <c r="C25" s="61"/>
      <c r="D25" s="11" t="s">
        <v>47</v>
      </c>
      <c r="E25" s="12">
        <v>0</v>
      </c>
      <c r="F25" s="13">
        <v>34.51</v>
      </c>
      <c r="G25" s="14">
        <f t="shared" si="2"/>
        <v>0</v>
      </c>
    </row>
    <row r="26" spans="1:7" s="1" customFormat="1" ht="12.75" customHeight="1">
      <c r="A26" s="59" t="s">
        <v>48</v>
      </c>
      <c r="B26" s="60"/>
      <c r="C26" s="61"/>
      <c r="D26" s="11" t="s">
        <v>49</v>
      </c>
      <c r="E26" s="12">
        <v>0</v>
      </c>
      <c r="F26" s="13">
        <v>37.69</v>
      </c>
      <c r="G26" s="14">
        <f t="shared" si="2"/>
        <v>0</v>
      </c>
    </row>
    <row r="27" spans="1:7" s="1" customFormat="1" ht="12.75" customHeight="1">
      <c r="A27" s="59" t="s">
        <v>50</v>
      </c>
      <c r="B27" s="60"/>
      <c r="C27" s="61"/>
      <c r="D27" s="11" t="s">
        <v>51</v>
      </c>
      <c r="E27" s="12">
        <v>0</v>
      </c>
      <c r="F27" s="13">
        <v>19.07</v>
      </c>
      <c r="G27" s="14">
        <f t="shared" si="2"/>
        <v>0</v>
      </c>
    </row>
    <row r="28" spans="1:7" s="1" customFormat="1" ht="12.75" customHeight="1">
      <c r="A28" s="63" t="s">
        <v>52</v>
      </c>
      <c r="B28" s="64"/>
      <c r="C28" s="65"/>
      <c r="D28" s="11" t="s">
        <v>53</v>
      </c>
      <c r="E28" s="12">
        <v>0</v>
      </c>
      <c r="F28" s="13">
        <v>20.190000000000001</v>
      </c>
      <c r="G28" s="14">
        <f t="shared" si="2"/>
        <v>0</v>
      </c>
    </row>
    <row r="29" spans="1:7" s="1" customFormat="1" ht="12.75" customHeight="1">
      <c r="A29" s="19" t="s">
        <v>54</v>
      </c>
      <c r="B29" s="20"/>
      <c r="C29" s="21"/>
      <c r="D29" s="11" t="s">
        <v>55</v>
      </c>
      <c r="E29" s="12">
        <v>0</v>
      </c>
      <c r="F29" s="13">
        <v>27.59</v>
      </c>
      <c r="G29" s="14">
        <f t="shared" si="2"/>
        <v>0</v>
      </c>
    </row>
    <row r="30" spans="1:7" s="1" customFormat="1" ht="12.75" customHeight="1">
      <c r="A30" s="19" t="s">
        <v>56</v>
      </c>
      <c r="B30" s="20"/>
      <c r="C30" s="21"/>
      <c r="D30" s="11" t="s">
        <v>57</v>
      </c>
      <c r="E30" s="12">
        <v>0</v>
      </c>
      <c r="F30" s="13">
        <v>23.45</v>
      </c>
      <c r="G30" s="14">
        <f t="shared" si="2"/>
        <v>0</v>
      </c>
    </row>
    <row r="31" spans="1:7" s="1" customFormat="1" ht="12.75" customHeight="1">
      <c r="A31" s="63" t="s">
        <v>58</v>
      </c>
      <c r="B31" s="72"/>
      <c r="C31" s="65"/>
      <c r="D31" s="11" t="s">
        <v>59</v>
      </c>
      <c r="E31" s="12">
        <v>0</v>
      </c>
      <c r="F31" s="13">
        <v>6.31</v>
      </c>
      <c r="G31" s="14">
        <f t="shared" si="2"/>
        <v>0</v>
      </c>
    </row>
    <row r="32" spans="1:7" s="1" customFormat="1" ht="12.75" customHeight="1">
      <c r="A32" s="63" t="s">
        <v>60</v>
      </c>
      <c r="B32" s="72"/>
      <c r="C32" s="65"/>
      <c r="D32" s="11" t="s">
        <v>61</v>
      </c>
      <c r="E32" s="12">
        <v>0</v>
      </c>
      <c r="F32" s="13">
        <v>3.56</v>
      </c>
      <c r="G32" s="14">
        <f t="shared" si="2"/>
        <v>0</v>
      </c>
    </row>
    <row r="33" spans="1:7" s="1" customFormat="1" ht="12.75" customHeight="1">
      <c r="A33" s="63" t="s">
        <v>62</v>
      </c>
      <c r="B33" s="64"/>
      <c r="C33" s="65"/>
      <c r="D33" s="11" t="s">
        <v>63</v>
      </c>
      <c r="E33" s="12">
        <v>0</v>
      </c>
      <c r="F33" s="13">
        <v>19.07</v>
      </c>
      <c r="G33" s="14">
        <f t="shared" si="2"/>
        <v>0</v>
      </c>
    </row>
    <row r="34" spans="1:7" s="1" customFormat="1" ht="12.75" customHeight="1">
      <c r="A34" s="63" t="s">
        <v>64</v>
      </c>
      <c r="B34" s="64"/>
      <c r="C34" s="65"/>
      <c r="D34" s="11" t="s">
        <v>65</v>
      </c>
      <c r="E34" s="12">
        <v>0</v>
      </c>
      <c r="F34" s="13">
        <v>20.190000000000001</v>
      </c>
      <c r="G34" s="14">
        <f t="shared" si="2"/>
        <v>0</v>
      </c>
    </row>
    <row r="35" spans="1:7" s="1" customFormat="1" ht="12.75" customHeight="1">
      <c r="A35" s="63" t="s">
        <v>66</v>
      </c>
      <c r="B35" s="64"/>
      <c r="C35" s="65"/>
      <c r="D35" s="11" t="s">
        <v>67</v>
      </c>
      <c r="E35" s="12">
        <v>0</v>
      </c>
      <c r="F35" s="13">
        <v>31.11</v>
      </c>
      <c r="G35" s="14">
        <f t="shared" si="2"/>
        <v>0</v>
      </c>
    </row>
    <row r="36" spans="1:7" s="1" customFormat="1" ht="12.75" customHeight="1">
      <c r="A36" s="63" t="s">
        <v>68</v>
      </c>
      <c r="B36" s="64"/>
      <c r="C36" s="65"/>
      <c r="D36" s="11" t="s">
        <v>69</v>
      </c>
      <c r="E36" s="12">
        <v>0</v>
      </c>
      <c r="F36" s="13">
        <v>33.76</v>
      </c>
      <c r="G36" s="14">
        <f t="shared" si="2"/>
        <v>0</v>
      </c>
    </row>
    <row r="37" spans="1:7" s="1" customFormat="1" ht="12.75" customHeight="1">
      <c r="A37" s="59" t="s">
        <v>70</v>
      </c>
      <c r="B37" s="60"/>
      <c r="C37" s="61"/>
      <c r="D37" s="11" t="s">
        <v>71</v>
      </c>
      <c r="E37" s="12">
        <v>0</v>
      </c>
      <c r="F37" s="13">
        <v>7.08</v>
      </c>
      <c r="G37" s="14">
        <f t="shared" si="2"/>
        <v>0</v>
      </c>
    </row>
    <row r="38" spans="1:7" s="1" customFormat="1" ht="12.75" customHeight="1">
      <c r="A38" s="59" t="s">
        <v>72</v>
      </c>
      <c r="B38" s="60"/>
      <c r="C38" s="61"/>
      <c r="D38" s="11" t="s">
        <v>73</v>
      </c>
      <c r="E38" s="12">
        <v>0</v>
      </c>
      <c r="F38" s="13">
        <v>10.48</v>
      </c>
      <c r="G38" s="14">
        <f t="shared" si="2"/>
        <v>0</v>
      </c>
    </row>
    <row r="39" spans="1:7" s="1" customFormat="1" ht="12.75" customHeight="1">
      <c r="A39" s="68" t="s">
        <v>74</v>
      </c>
      <c r="B39" s="69"/>
      <c r="C39" s="69"/>
      <c r="D39" s="97"/>
      <c r="E39" s="97"/>
      <c r="F39" s="97"/>
      <c r="G39" s="98"/>
    </row>
    <row r="40" spans="1:7" s="1" customFormat="1" ht="12.75" customHeight="1">
      <c r="A40" s="59" t="s">
        <v>75</v>
      </c>
      <c r="B40" s="60"/>
      <c r="C40" s="61"/>
      <c r="D40" s="11" t="s">
        <v>76</v>
      </c>
      <c r="E40" s="15">
        <v>0</v>
      </c>
      <c r="F40" s="13">
        <v>81.19</v>
      </c>
      <c r="G40" s="14">
        <f t="shared" ref="G40:G42" si="3">E40*F40</f>
        <v>0</v>
      </c>
    </row>
    <row r="41" spans="1:7" s="1" customFormat="1" ht="12.75" customHeight="1">
      <c r="A41" s="59" t="s">
        <v>77</v>
      </c>
      <c r="B41" s="60"/>
      <c r="C41" s="61"/>
      <c r="D41" s="11" t="s">
        <v>78</v>
      </c>
      <c r="E41" s="12">
        <v>0</v>
      </c>
      <c r="F41" s="13">
        <v>27.78</v>
      </c>
      <c r="G41" s="14">
        <f t="shared" si="3"/>
        <v>0</v>
      </c>
    </row>
    <row r="42" spans="1:7" s="1" customFormat="1" ht="12.75" customHeight="1">
      <c r="A42" s="59" t="s">
        <v>79</v>
      </c>
      <c r="B42" s="60"/>
      <c r="C42" s="61"/>
      <c r="D42" s="11" t="s">
        <v>80</v>
      </c>
      <c r="E42" s="12">
        <v>0</v>
      </c>
      <c r="F42" s="13">
        <v>4.29</v>
      </c>
      <c r="G42" s="14">
        <f t="shared" si="3"/>
        <v>0</v>
      </c>
    </row>
    <row r="43" spans="1:7" s="1" customFormat="1" ht="12.75" hidden="1" customHeight="1">
      <c r="A43" s="77" t="s">
        <v>81</v>
      </c>
      <c r="B43" s="78"/>
      <c r="C43" s="78"/>
      <c r="D43" s="78"/>
      <c r="E43" s="79"/>
      <c r="F43" s="22"/>
      <c r="G43" s="23"/>
    </row>
    <row r="44" spans="1:7" s="1" customFormat="1" ht="12.75" hidden="1" customHeight="1">
      <c r="A44" s="24" t="s">
        <v>82</v>
      </c>
      <c r="B44" s="24"/>
      <c r="C44" s="24"/>
      <c r="D44" s="24"/>
      <c r="E44" s="25">
        <v>0</v>
      </c>
      <c r="F44" s="26"/>
      <c r="G44" s="23"/>
    </row>
    <row r="45" spans="1:7" s="1" customFormat="1" ht="12.75" hidden="1" customHeight="1">
      <c r="A45" s="24" t="s">
        <v>83</v>
      </c>
      <c r="B45" s="27"/>
      <c r="C45" s="27"/>
      <c r="D45" s="27"/>
      <c r="E45" s="28">
        <v>0</v>
      </c>
      <c r="F45" s="26"/>
      <c r="G45" s="23"/>
    </row>
    <row r="46" spans="1:7" s="1" customFormat="1" ht="12.75" hidden="1" customHeight="1">
      <c r="A46" s="24" t="s">
        <v>84</v>
      </c>
      <c r="B46" s="27"/>
      <c r="C46" s="27"/>
      <c r="D46" s="27"/>
      <c r="E46" s="29">
        <v>0</v>
      </c>
      <c r="F46" s="26"/>
      <c r="G46" s="23"/>
    </row>
    <row r="47" spans="1:7" s="1" customFormat="1" ht="12.75" hidden="1" customHeight="1">
      <c r="A47" s="24" t="s">
        <v>85</v>
      </c>
      <c r="B47" s="27"/>
      <c r="C47" s="27"/>
      <c r="D47" s="27"/>
      <c r="E47" s="29">
        <v>0</v>
      </c>
      <c r="F47" s="26"/>
      <c r="G47" s="23"/>
    </row>
    <row r="48" spans="1:7" s="1" customFormat="1" ht="12.75" hidden="1" customHeight="1">
      <c r="A48" s="24" t="s">
        <v>86</v>
      </c>
      <c r="B48" s="24"/>
      <c r="C48" s="24"/>
      <c r="D48" s="24"/>
      <c r="E48" s="30">
        <v>9.0015999999999998</v>
      </c>
      <c r="F48" s="26"/>
      <c r="G48" s="23"/>
    </row>
    <row r="49" spans="1:7" s="1" customFormat="1" ht="12.75" hidden="1" customHeight="1">
      <c r="A49" s="24" t="s">
        <v>87</v>
      </c>
      <c r="B49" s="31"/>
      <c r="C49" s="31"/>
      <c r="D49" s="31"/>
      <c r="E49" s="32">
        <v>0</v>
      </c>
      <c r="F49" s="26"/>
      <c r="G49" s="23"/>
    </row>
    <row r="50" spans="1:7" s="1" customFormat="1" ht="12.75" hidden="1" customHeight="1">
      <c r="A50" s="80" t="s">
        <v>88</v>
      </c>
      <c r="B50" s="81"/>
      <c r="C50" s="81"/>
      <c r="D50" s="81"/>
      <c r="E50" s="82"/>
      <c r="F50" s="22"/>
      <c r="G50" s="23"/>
    </row>
    <row r="51" spans="1:7" s="1" customFormat="1" ht="12.75" hidden="1" customHeight="1">
      <c r="A51" s="24" t="s">
        <v>89</v>
      </c>
      <c r="B51" s="27"/>
      <c r="C51" s="27"/>
      <c r="D51" s="27"/>
      <c r="E51" s="29">
        <v>0</v>
      </c>
      <c r="F51" s="26"/>
      <c r="G51" s="23"/>
    </row>
    <row r="52" spans="1:7" s="1" customFormat="1" ht="12.75" hidden="1" customHeight="1">
      <c r="A52" s="24" t="s">
        <v>90</v>
      </c>
      <c r="B52" s="24"/>
      <c r="C52" s="24"/>
      <c r="D52" s="24"/>
      <c r="E52" s="30">
        <v>0</v>
      </c>
      <c r="F52" s="26"/>
      <c r="G52" s="23"/>
    </row>
    <row r="53" spans="1:7" s="1" customFormat="1" ht="12.75" hidden="1" customHeight="1">
      <c r="A53" s="24" t="s">
        <v>91</v>
      </c>
      <c r="B53" s="24"/>
      <c r="C53" s="24"/>
      <c r="D53" s="24"/>
      <c r="E53" s="30">
        <v>0</v>
      </c>
      <c r="F53" s="26"/>
      <c r="G53" s="23"/>
    </row>
    <row r="54" spans="1:7" s="1" customFormat="1" ht="12.75" hidden="1" customHeight="1">
      <c r="A54" s="24" t="s">
        <v>92</v>
      </c>
      <c r="B54" s="31"/>
      <c r="C54" s="31"/>
      <c r="D54" s="31"/>
      <c r="E54" s="32">
        <v>0</v>
      </c>
      <c r="F54" s="26"/>
      <c r="G54" s="23"/>
    </row>
    <row r="55" spans="1:7" s="1" customFormat="1" ht="12.75" customHeight="1">
      <c r="A55" s="87" t="s">
        <v>93</v>
      </c>
      <c r="B55" s="88"/>
      <c r="C55" s="88"/>
      <c r="D55" s="99"/>
      <c r="E55" s="99"/>
      <c r="F55" s="99"/>
      <c r="G55" s="100"/>
    </row>
    <row r="56" spans="1:7" s="1" customFormat="1" ht="12.75" customHeight="1">
      <c r="A56" s="33" t="s">
        <v>94</v>
      </c>
      <c r="B56" s="34"/>
      <c r="C56" s="35"/>
      <c r="D56" s="11">
        <v>1001</v>
      </c>
      <c r="E56" s="12">
        <v>0</v>
      </c>
      <c r="F56" s="13">
        <v>17.8</v>
      </c>
      <c r="G56" s="14">
        <f>E56*F56</f>
        <v>0</v>
      </c>
    </row>
    <row r="57" spans="1:7" s="1" customFormat="1" ht="12.75" customHeight="1">
      <c r="A57" s="59" t="s">
        <v>95</v>
      </c>
      <c r="B57" s="60"/>
      <c r="C57" s="61"/>
      <c r="D57" s="11" t="s">
        <v>96</v>
      </c>
      <c r="E57" s="12">
        <v>0</v>
      </c>
      <c r="F57" s="13">
        <v>1.1499999999999999</v>
      </c>
      <c r="G57" s="14">
        <f t="shared" ref="G57:G60" si="4">E57*F57</f>
        <v>0</v>
      </c>
    </row>
    <row r="58" spans="1:7" s="1" customFormat="1" ht="12.75" customHeight="1">
      <c r="A58" s="59" t="s">
        <v>97</v>
      </c>
      <c r="B58" s="60"/>
      <c r="C58" s="61"/>
      <c r="D58" s="11" t="s">
        <v>98</v>
      </c>
      <c r="E58" s="12">
        <v>0</v>
      </c>
      <c r="F58" s="13">
        <v>1.56</v>
      </c>
      <c r="G58" s="14">
        <f t="shared" si="4"/>
        <v>0</v>
      </c>
    </row>
    <row r="59" spans="1:7" s="1" customFormat="1" ht="12.75" customHeight="1">
      <c r="A59" s="59" t="s">
        <v>99</v>
      </c>
      <c r="B59" s="60"/>
      <c r="C59" s="61"/>
      <c r="D59" s="11" t="s">
        <v>100</v>
      </c>
      <c r="E59" s="12">
        <v>0</v>
      </c>
      <c r="F59" s="13">
        <v>1.56</v>
      </c>
      <c r="G59" s="14">
        <f t="shared" si="4"/>
        <v>0</v>
      </c>
    </row>
    <row r="60" spans="1:7" s="1" customFormat="1" ht="12.75" customHeight="1">
      <c r="A60" s="59" t="s">
        <v>101</v>
      </c>
      <c r="B60" s="60"/>
      <c r="C60" s="61"/>
      <c r="D60" s="11">
        <v>1007</v>
      </c>
      <c r="E60" s="12">
        <v>0</v>
      </c>
      <c r="F60" s="13">
        <v>17.8</v>
      </c>
      <c r="G60" s="14">
        <f t="shared" si="4"/>
        <v>0</v>
      </c>
    </row>
    <row r="61" spans="1:7" s="1" customFormat="1" ht="12.75" customHeight="1">
      <c r="A61" s="33" t="s">
        <v>102</v>
      </c>
      <c r="B61" s="34"/>
      <c r="C61" s="36"/>
      <c r="D61" s="11" t="s">
        <v>103</v>
      </c>
      <c r="E61" s="12">
        <v>0</v>
      </c>
      <c r="F61" s="13">
        <v>17.8</v>
      </c>
      <c r="G61" s="14">
        <f t="shared" ref="G61" si="5">E61*F61</f>
        <v>0</v>
      </c>
    </row>
    <row r="62" spans="1:7" s="1" customFormat="1" ht="12.75" customHeight="1">
      <c r="A62" s="33" t="s">
        <v>104</v>
      </c>
      <c r="B62" s="34"/>
      <c r="C62" s="36"/>
      <c r="D62" s="11" t="s">
        <v>105</v>
      </c>
      <c r="E62" s="12">
        <v>0</v>
      </c>
      <c r="F62" s="13">
        <v>1.56</v>
      </c>
      <c r="G62" s="14">
        <f t="shared" ref="G62" si="6">E62*F62</f>
        <v>0</v>
      </c>
    </row>
    <row r="63" spans="1:7" s="1" customFormat="1" ht="12.75" customHeight="1">
      <c r="A63" s="68" t="s">
        <v>106</v>
      </c>
      <c r="B63" s="69"/>
      <c r="C63" s="69"/>
      <c r="D63" s="97"/>
      <c r="E63" s="97"/>
      <c r="F63" s="97"/>
      <c r="G63" s="98"/>
    </row>
    <row r="64" spans="1:7" s="1" customFormat="1" ht="12.75" customHeight="1">
      <c r="A64" s="89" t="s">
        <v>107</v>
      </c>
      <c r="B64" s="90"/>
      <c r="C64" s="61"/>
      <c r="D64" s="37"/>
      <c r="E64" s="15">
        <v>0</v>
      </c>
      <c r="F64" s="13">
        <v>0.65</v>
      </c>
      <c r="G64" s="14">
        <f t="shared" ref="G64:G66" si="7">E64*F64</f>
        <v>0</v>
      </c>
    </row>
    <row r="65" spans="1:7" s="1" customFormat="1" ht="12.75" customHeight="1">
      <c r="A65" s="91"/>
      <c r="B65" s="92"/>
      <c r="C65" s="93"/>
      <c r="D65" s="37"/>
      <c r="E65" s="12">
        <v>0</v>
      </c>
      <c r="F65" s="13"/>
      <c r="G65" s="14">
        <f t="shared" si="7"/>
        <v>0</v>
      </c>
    </row>
    <row r="66" spans="1:7" s="1" customFormat="1" ht="12.75" customHeight="1" thickBot="1">
      <c r="A66" s="73"/>
      <c r="B66" s="74"/>
      <c r="C66" s="75"/>
      <c r="D66" s="38"/>
      <c r="E66" s="39">
        <v>0</v>
      </c>
      <c r="F66" s="40"/>
      <c r="G66" s="14">
        <f t="shared" si="7"/>
        <v>0</v>
      </c>
    </row>
    <row r="67" spans="1:7" ht="14.1" customHeight="1" thickTop="1">
      <c r="A67" s="41" t="s">
        <v>108</v>
      </c>
      <c r="B67" s="42"/>
      <c r="C67" s="43"/>
      <c r="D67" s="43"/>
      <c r="E67" s="101" t="s">
        <v>109</v>
      </c>
      <c r="F67" s="101"/>
      <c r="G67" s="44">
        <f>SUM(G6:G20)+SUM(G22:G38)+SUM(G40:G42)+SUM(G56:G62)+SUM(G64:G66)</f>
        <v>0</v>
      </c>
    </row>
    <row r="68" spans="1:7" ht="14.1" customHeight="1" thickBot="1">
      <c r="A68" s="5"/>
      <c r="B68" s="5"/>
      <c r="C68" s="5"/>
      <c r="D68" s="5"/>
      <c r="E68" s="5" t="s">
        <v>110</v>
      </c>
      <c r="F68" s="45">
        <v>0.21</v>
      </c>
      <c r="G68" s="46">
        <f>G67*F68</f>
        <v>0</v>
      </c>
    </row>
    <row r="69" spans="1:7" ht="14.1" customHeight="1" thickTop="1" thickBot="1">
      <c r="A69" s="5"/>
      <c r="B69" s="5"/>
      <c r="C69" s="5"/>
      <c r="D69" s="5"/>
      <c r="E69" s="5"/>
      <c r="F69" s="45"/>
      <c r="G69" s="47"/>
    </row>
    <row r="70" spans="1:7" ht="14.1" customHeight="1" thickTop="1" thickBot="1">
      <c r="A70" s="5"/>
      <c r="B70" s="5"/>
      <c r="C70" s="48" t="s">
        <v>111</v>
      </c>
      <c r="D70" s="102"/>
      <c r="E70" s="102"/>
      <c r="F70" s="102"/>
      <c r="G70" s="49">
        <f>G67+G68</f>
        <v>0</v>
      </c>
    </row>
    <row r="71" spans="1:7" ht="13.5" thickBot="1">
      <c r="A71" s="5"/>
      <c r="B71" s="5"/>
      <c r="C71" s="5"/>
      <c r="D71" s="5"/>
      <c r="E71" s="5"/>
      <c r="F71" s="5"/>
      <c r="G71" s="50"/>
    </row>
    <row r="72" spans="1:7" ht="14.1" customHeight="1" thickTop="1" thickBot="1">
      <c r="A72" s="5"/>
      <c r="B72" s="5"/>
      <c r="C72" s="48" t="s">
        <v>112</v>
      </c>
      <c r="D72" s="70"/>
      <c r="E72" s="70"/>
      <c r="F72" s="70"/>
      <c r="G72" s="51"/>
    </row>
    <row r="73" spans="1:7" ht="8.1" customHeight="1" thickTop="1" thickBot="1">
      <c r="A73" s="5"/>
      <c r="B73" s="5"/>
      <c r="C73" s="48"/>
      <c r="D73" s="52"/>
      <c r="E73" s="53"/>
      <c r="F73" s="53"/>
      <c r="G73" s="54"/>
    </row>
    <row r="74" spans="1:7" ht="14.1" customHeight="1" thickTop="1" thickBot="1">
      <c r="A74" s="5"/>
      <c r="B74" s="5"/>
      <c r="C74" s="48" t="s">
        <v>113</v>
      </c>
      <c r="D74" s="70"/>
      <c r="E74" s="70"/>
      <c r="F74" s="70"/>
      <c r="G74" s="51"/>
    </row>
    <row r="75" spans="1:7" ht="8.1" customHeight="1" thickTop="1" thickBot="1">
      <c r="A75" s="5"/>
      <c r="B75" s="5"/>
      <c r="C75" s="48"/>
      <c r="D75" s="48"/>
      <c r="E75" s="5"/>
      <c r="F75" s="5"/>
      <c r="G75" s="54"/>
    </row>
    <row r="76" spans="1:7" ht="14.1" customHeight="1" thickTop="1" thickBot="1">
      <c r="A76" s="5"/>
      <c r="B76" s="5"/>
      <c r="C76" s="48" t="s">
        <v>114</v>
      </c>
      <c r="D76" s="71"/>
      <c r="E76" s="102"/>
      <c r="F76" s="102"/>
      <c r="G76" s="49">
        <f>G70+G72-G74</f>
        <v>0</v>
      </c>
    </row>
    <row r="77" spans="1:7" ht="8.25" customHeight="1">
      <c r="A77" s="5"/>
      <c r="B77" s="5"/>
      <c r="C77" s="5"/>
      <c r="D77" s="5"/>
      <c r="E77" s="5"/>
      <c r="F77" s="5"/>
      <c r="G77" s="5"/>
    </row>
    <row r="78" spans="1:7">
      <c r="A78" s="5"/>
      <c r="B78" s="5"/>
      <c r="C78" s="55" t="s">
        <v>115</v>
      </c>
      <c r="D78" s="86"/>
      <c r="E78" s="86"/>
      <c r="F78" s="56"/>
      <c r="G78" s="56"/>
    </row>
    <row r="79" spans="1:7" ht="6.75" customHeight="1">
      <c r="A79" s="5"/>
      <c r="B79" s="5"/>
      <c r="C79" s="55"/>
      <c r="D79" s="56"/>
      <c r="E79" s="56"/>
      <c r="F79" s="56"/>
      <c r="G79" s="56"/>
    </row>
    <row r="80" spans="1:7">
      <c r="A80" s="55"/>
      <c r="B80" s="55"/>
      <c r="C80" s="76"/>
      <c r="D80" s="76"/>
      <c r="E80" s="76"/>
      <c r="F80" s="56"/>
      <c r="G80" s="56"/>
    </row>
    <row r="81" spans="1:7">
      <c r="A81" s="5"/>
      <c r="B81" s="5"/>
      <c r="C81" s="5"/>
      <c r="D81" s="5"/>
      <c r="E81" s="5"/>
      <c r="F81" s="5"/>
      <c r="G81" s="5"/>
    </row>
    <row r="82" spans="1:7" ht="28.5">
      <c r="A82" s="5"/>
      <c r="B82" s="5"/>
      <c r="C82" s="57" t="s">
        <v>116</v>
      </c>
      <c r="D82" s="5"/>
      <c r="E82" s="5"/>
      <c r="F82" s="5"/>
      <c r="G82" s="5"/>
    </row>
    <row r="83" spans="1:7">
      <c r="A83" s="5"/>
      <c r="B83" s="5"/>
      <c r="C83" s="58" t="s">
        <v>117</v>
      </c>
      <c r="D83" s="5"/>
      <c r="E83" s="5"/>
      <c r="F83" s="5"/>
      <c r="G83" s="5"/>
    </row>
    <row r="84" spans="1:7">
      <c r="A84" s="5"/>
      <c r="B84" s="5"/>
      <c r="C84" s="58" t="s">
        <v>118</v>
      </c>
      <c r="D84" s="5"/>
      <c r="E84" s="5"/>
      <c r="F84" s="5"/>
      <c r="G84" s="5"/>
    </row>
    <row r="85" spans="1:7">
      <c r="A85" s="5"/>
      <c r="B85" s="5"/>
      <c r="C85" s="5"/>
      <c r="D85" s="5"/>
      <c r="E85" s="5"/>
      <c r="F85" s="5"/>
      <c r="G85" s="5"/>
    </row>
  </sheetData>
  <sheetProtection password="EEC3" sheet="1" selectLockedCells="1"/>
  <mergeCells count="54">
    <mergeCell ref="A55:G55"/>
    <mergeCell ref="A42:C42"/>
    <mergeCell ref="A60:C60"/>
    <mergeCell ref="A64:C64"/>
    <mergeCell ref="A65:C65"/>
    <mergeCell ref="A63:G63"/>
    <mergeCell ref="A59:C59"/>
    <mergeCell ref="C1:G1"/>
    <mergeCell ref="C80:E80"/>
    <mergeCell ref="A38:C38"/>
    <mergeCell ref="A43:E43"/>
    <mergeCell ref="A50:E50"/>
    <mergeCell ref="D2:G2"/>
    <mergeCell ref="A4:C4"/>
    <mergeCell ref="D78:E78"/>
    <mergeCell ref="A22:C22"/>
    <mergeCell ref="A25:C25"/>
    <mergeCell ref="A26:C26"/>
    <mergeCell ref="A27:C27"/>
    <mergeCell ref="A28:C28"/>
    <mergeCell ref="A37:C37"/>
    <mergeCell ref="A18:C18"/>
    <mergeCell ref="A19:C19"/>
    <mergeCell ref="A5:G5"/>
    <mergeCell ref="A39:G39"/>
    <mergeCell ref="D74:F74"/>
    <mergeCell ref="D76:F76"/>
    <mergeCell ref="D70:F70"/>
    <mergeCell ref="E67:F67"/>
    <mergeCell ref="D72:F72"/>
    <mergeCell ref="A21:G21"/>
    <mergeCell ref="A40:C40"/>
    <mergeCell ref="A16:C16"/>
    <mergeCell ref="A17:C17"/>
    <mergeCell ref="A31:C31"/>
    <mergeCell ref="A32:C32"/>
    <mergeCell ref="A66:C66"/>
    <mergeCell ref="A57:C57"/>
    <mergeCell ref="A58:C58"/>
    <mergeCell ref="A33:C33"/>
    <mergeCell ref="A34:C34"/>
    <mergeCell ref="A35:C35"/>
    <mergeCell ref="A36:C36"/>
    <mergeCell ref="A41:C41"/>
    <mergeCell ref="A6:C6"/>
    <mergeCell ref="A7:C7"/>
    <mergeCell ref="A8:C8"/>
    <mergeCell ref="A9:C9"/>
    <mergeCell ref="A10:C10"/>
    <mergeCell ref="A12:C12"/>
    <mergeCell ref="A13:C13"/>
    <mergeCell ref="A14:C14"/>
    <mergeCell ref="A15:C15"/>
    <mergeCell ref="A20:C20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83" fitToWidth="4" orientation="portrait" r:id="rId1"/>
  <headerFooter alignWithMargins="0">
    <oddFooter xml:space="preserve">&amp;L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Moreno</dc:creator>
  <cp:keywords/>
  <dc:description/>
  <cp:lastModifiedBy>Francisco Moreno &lt;fmoreno@rsce.es&gt;</cp:lastModifiedBy>
  <cp:revision/>
  <dcterms:created xsi:type="dcterms:W3CDTF">2010-06-07T09:58:26Z</dcterms:created>
  <dcterms:modified xsi:type="dcterms:W3CDTF">2024-03-13T08:51:33Z</dcterms:modified>
  <cp:category/>
  <cp:contentStatus/>
</cp:coreProperties>
</file>