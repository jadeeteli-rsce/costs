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Documents\+ GESTION\01 ADMINITRACION\ASUNTOS ECONOMICOS\TARIFAS\"/>
    </mc:Choice>
  </mc:AlternateContent>
  <bookViews>
    <workbookView xWindow="0" yWindow="0" windowWidth="20685" windowHeight="7860"/>
  </bookViews>
  <sheets>
    <sheet name="Hoja1" sheetId="1" r:id="rId1"/>
  </sheets>
  <definedNames>
    <definedName name="_xlnm.Print_Area" localSheetId="0">Hoja1!$A$1:$H$92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92" i="1" l="1"/>
  <c r="G85" i="1" l="1"/>
  <c r="F85" i="1"/>
  <c r="G82" i="1"/>
  <c r="F82" i="1"/>
  <c r="G80" i="1"/>
  <c r="F80" i="1"/>
  <c r="G79" i="1"/>
  <c r="F79" i="1"/>
  <c r="G78" i="1"/>
  <c r="F78" i="1"/>
  <c r="G77" i="1"/>
  <c r="F77" i="1"/>
  <c r="G75" i="1"/>
  <c r="F75" i="1"/>
  <c r="G67" i="1"/>
  <c r="F67" i="1"/>
  <c r="G71" i="1"/>
  <c r="F71" i="1"/>
  <c r="G69" i="1"/>
  <c r="F69" i="1"/>
  <c r="G68" i="1"/>
  <c r="F68" i="1"/>
  <c r="G66" i="1"/>
  <c r="F66" i="1"/>
  <c r="G65" i="1"/>
  <c r="F65" i="1"/>
  <c r="G63" i="1"/>
  <c r="F63" i="1"/>
  <c r="G62" i="1"/>
  <c r="F62" i="1"/>
  <c r="G61" i="1"/>
  <c r="F61" i="1"/>
  <c r="G60" i="1"/>
  <c r="F60" i="1"/>
  <c r="F59" i="1"/>
  <c r="F58" i="1"/>
  <c r="G59" i="1"/>
  <c r="G58" i="1"/>
  <c r="G57" i="1"/>
  <c r="F57" i="1"/>
  <c r="G56" i="1"/>
  <c r="F56" i="1"/>
  <c r="N4" i="1" l="1"/>
  <c r="F83" i="1" l="1"/>
  <c r="F84" i="1"/>
  <c r="G89" i="1" l="1"/>
  <c r="K89" i="1" s="1"/>
  <c r="J89" i="1"/>
  <c r="G88" i="1"/>
  <c r="K88" i="1" s="1"/>
  <c r="J88" i="1"/>
  <c r="F74" i="1"/>
  <c r="H74" i="1" s="1"/>
  <c r="G54" i="1"/>
  <c r="K54" i="1" s="1"/>
  <c r="F54" i="1"/>
  <c r="J54" i="1" s="1"/>
  <c r="G53" i="1"/>
  <c r="K53" i="1" s="1"/>
  <c r="F53" i="1"/>
  <c r="J53" i="1" s="1"/>
  <c r="G52" i="1"/>
  <c r="K52" i="1" s="1"/>
  <c r="F52" i="1"/>
  <c r="J52" i="1" s="1"/>
  <c r="G51" i="1"/>
  <c r="K51" i="1" s="1"/>
  <c r="F51" i="1"/>
  <c r="J51" i="1" s="1"/>
  <c r="G84" i="1"/>
  <c r="K84" i="1" s="1"/>
  <c r="J84" i="1"/>
  <c r="N47" i="1" l="1"/>
  <c r="N74" i="1"/>
  <c r="N73" i="1"/>
  <c r="N72" i="1"/>
  <c r="N45" i="1"/>
  <c r="N44" i="1"/>
  <c r="N39" i="1"/>
  <c r="N38" i="1"/>
  <c r="N37" i="1"/>
  <c r="N27" i="1"/>
  <c r="N26" i="1"/>
  <c r="N25" i="1"/>
  <c r="N24" i="1"/>
  <c r="N23" i="1"/>
  <c r="N22" i="1"/>
  <c r="N21" i="1"/>
  <c r="N20" i="1"/>
  <c r="N19" i="1"/>
  <c r="N18" i="1"/>
  <c r="N14" i="1"/>
  <c r="N13" i="1"/>
  <c r="N8" i="1"/>
  <c r="N7" i="1"/>
  <c r="N16" i="1"/>
  <c r="N15" i="1"/>
  <c r="N12" i="1"/>
  <c r="N11" i="1"/>
  <c r="N10" i="1"/>
  <c r="N9" i="1"/>
  <c r="N6" i="1"/>
  <c r="N5" i="1"/>
  <c r="K92" i="1"/>
  <c r="G21" i="1"/>
  <c r="H21" i="1" s="1"/>
  <c r="O21" i="1" s="1"/>
  <c r="F21" i="1"/>
  <c r="J21" i="1" s="1"/>
  <c r="P21" i="1" l="1"/>
  <c r="K21" i="1"/>
  <c r="L21" i="1"/>
  <c r="G4" i="1"/>
  <c r="H4" i="1" s="1"/>
  <c r="O4" i="1" s="1"/>
  <c r="K4" i="1" l="1"/>
  <c r="L4" i="1" l="1"/>
  <c r="P4" i="1"/>
  <c r="K85" i="1" l="1"/>
  <c r="J85" i="1"/>
  <c r="G83" i="1"/>
  <c r="K83" i="1" s="1"/>
  <c r="J83" i="1"/>
  <c r="K82" i="1"/>
  <c r="J82" i="1"/>
  <c r="K80" i="1"/>
  <c r="J80" i="1"/>
  <c r="K79" i="1"/>
  <c r="J79" i="1"/>
  <c r="K78" i="1"/>
  <c r="J78" i="1"/>
  <c r="K77" i="1"/>
  <c r="J77" i="1"/>
  <c r="K75" i="1"/>
  <c r="J75" i="1"/>
  <c r="G74" i="1"/>
  <c r="K74" i="1" s="1"/>
  <c r="G73" i="1"/>
  <c r="K73" i="1" s="1"/>
  <c r="F73" i="1"/>
  <c r="G72" i="1"/>
  <c r="K72" i="1" s="1"/>
  <c r="F72" i="1"/>
  <c r="K71" i="1"/>
  <c r="J71" i="1"/>
  <c r="K69" i="1"/>
  <c r="J69" i="1"/>
  <c r="K68" i="1"/>
  <c r="J68" i="1"/>
  <c r="K67" i="1"/>
  <c r="J67" i="1"/>
  <c r="J66" i="1"/>
  <c r="K65" i="1"/>
  <c r="J65" i="1"/>
  <c r="K63" i="1"/>
  <c r="J63" i="1"/>
  <c r="K61" i="1"/>
  <c r="J61" i="1"/>
  <c r="K60" i="1"/>
  <c r="J60" i="1"/>
  <c r="J59" i="1"/>
  <c r="K58" i="1"/>
  <c r="J58" i="1"/>
  <c r="J57" i="1"/>
  <c r="K56" i="1"/>
  <c r="J56" i="1"/>
  <c r="G50" i="1"/>
  <c r="K50" i="1" s="1"/>
  <c r="F50" i="1"/>
  <c r="J50" i="1" s="1"/>
  <c r="G48" i="1"/>
  <c r="F48" i="1"/>
  <c r="J48" i="1" s="1"/>
  <c r="G47" i="1"/>
  <c r="F47" i="1"/>
  <c r="G45" i="1"/>
  <c r="K45" i="1" s="1"/>
  <c r="F45" i="1"/>
  <c r="G44" i="1"/>
  <c r="K44" i="1" s="1"/>
  <c r="F44" i="1"/>
  <c r="G39" i="1"/>
  <c r="F39" i="1"/>
  <c r="J39" i="1" s="1"/>
  <c r="G38" i="1"/>
  <c r="F38" i="1"/>
  <c r="J38" i="1" s="1"/>
  <c r="G37" i="1"/>
  <c r="F37" i="1"/>
  <c r="J37" i="1" s="1"/>
  <c r="G35" i="1"/>
  <c r="K35" i="1" s="1"/>
  <c r="F35" i="1"/>
  <c r="J35" i="1" s="1"/>
  <c r="G34" i="1"/>
  <c r="K34" i="1" s="1"/>
  <c r="F34" i="1"/>
  <c r="J34" i="1" s="1"/>
  <c r="G33" i="1"/>
  <c r="K33" i="1" s="1"/>
  <c r="F33" i="1"/>
  <c r="J33" i="1" s="1"/>
  <c r="G32" i="1"/>
  <c r="K32" i="1" s="1"/>
  <c r="F32" i="1"/>
  <c r="J32" i="1" s="1"/>
  <c r="G30" i="1"/>
  <c r="K30" i="1" s="1"/>
  <c r="F30" i="1"/>
  <c r="J30" i="1" s="1"/>
  <c r="G29" i="1"/>
  <c r="K29" i="1" s="1"/>
  <c r="F29" i="1"/>
  <c r="J29" i="1" s="1"/>
  <c r="G27" i="1"/>
  <c r="F27" i="1"/>
  <c r="J27" i="1" s="1"/>
  <c r="G26" i="1"/>
  <c r="F26" i="1"/>
  <c r="J26" i="1" s="1"/>
  <c r="G25" i="1"/>
  <c r="F25" i="1"/>
  <c r="J25" i="1" s="1"/>
  <c r="G24" i="1"/>
  <c r="F24" i="1"/>
  <c r="J24" i="1" s="1"/>
  <c r="G23" i="1"/>
  <c r="F23" i="1"/>
  <c r="J23" i="1" s="1"/>
  <c r="G22" i="1"/>
  <c r="F22" i="1"/>
  <c r="J22" i="1" s="1"/>
  <c r="G20" i="1"/>
  <c r="F20" i="1"/>
  <c r="J20" i="1" s="1"/>
  <c r="G19" i="1"/>
  <c r="F19" i="1"/>
  <c r="J19" i="1" s="1"/>
  <c r="G18" i="1"/>
  <c r="F18" i="1"/>
  <c r="J18" i="1" s="1"/>
  <c r="G16" i="1"/>
  <c r="F16" i="1"/>
  <c r="J16" i="1" s="1"/>
  <c r="G15" i="1"/>
  <c r="F15" i="1"/>
  <c r="J15" i="1" s="1"/>
  <c r="G14" i="1"/>
  <c r="K14" i="1" s="1"/>
  <c r="F14" i="1"/>
  <c r="G13" i="1"/>
  <c r="K13" i="1" s="1"/>
  <c r="F13" i="1"/>
  <c r="G12" i="1"/>
  <c r="F12" i="1"/>
  <c r="J12" i="1" s="1"/>
  <c r="G11" i="1"/>
  <c r="F11" i="1"/>
  <c r="J11" i="1" s="1"/>
  <c r="G10" i="1"/>
  <c r="F10" i="1"/>
  <c r="J10" i="1" s="1"/>
  <c r="G9" i="1"/>
  <c r="F9" i="1"/>
  <c r="J9" i="1" s="1"/>
  <c r="G8" i="1"/>
  <c r="K8" i="1" s="1"/>
  <c r="F8" i="1"/>
  <c r="G7" i="1"/>
  <c r="K7" i="1" s="1"/>
  <c r="F7" i="1"/>
  <c r="G6" i="1"/>
  <c r="F6" i="1"/>
  <c r="J6" i="1" s="1"/>
  <c r="G5" i="1"/>
  <c r="H5" i="1" s="1"/>
  <c r="F5" i="1"/>
  <c r="J5" i="1" s="1"/>
  <c r="F4" i="1"/>
  <c r="J4" i="1" s="1"/>
  <c r="K66" i="1"/>
  <c r="K59" i="1"/>
  <c r="K57" i="1"/>
  <c r="K5" i="1" l="1"/>
  <c r="K11" i="1"/>
  <c r="H11" i="1"/>
  <c r="K15" i="1"/>
  <c r="H15" i="1"/>
  <c r="K20" i="1"/>
  <c r="H20" i="1"/>
  <c r="K25" i="1"/>
  <c r="H25" i="1"/>
  <c r="K27" i="1"/>
  <c r="H27" i="1"/>
  <c r="K38" i="1"/>
  <c r="H38" i="1"/>
  <c r="J72" i="1"/>
  <c r="H72" i="1"/>
  <c r="O72" i="1" s="1"/>
  <c r="P72" i="1" s="1"/>
  <c r="J74" i="1"/>
  <c r="O74" i="1"/>
  <c r="P74" i="1" s="1"/>
  <c r="J8" i="1"/>
  <c r="H8" i="1"/>
  <c r="J14" i="1"/>
  <c r="H14" i="1"/>
  <c r="J45" i="1"/>
  <c r="H45" i="1"/>
  <c r="K23" i="1"/>
  <c r="H23" i="1"/>
  <c r="K6" i="1"/>
  <c r="H6" i="1"/>
  <c r="K10" i="1"/>
  <c r="H10" i="1"/>
  <c r="K12" i="1"/>
  <c r="H12" i="1"/>
  <c r="K16" i="1"/>
  <c r="H16" i="1"/>
  <c r="K19" i="1"/>
  <c r="H19" i="1"/>
  <c r="K22" i="1"/>
  <c r="H22" i="1"/>
  <c r="K24" i="1"/>
  <c r="H24" i="1"/>
  <c r="K26" i="1"/>
  <c r="H26" i="1"/>
  <c r="K37" i="1"/>
  <c r="H37" i="1"/>
  <c r="K39" i="1"/>
  <c r="H39" i="1"/>
  <c r="J73" i="1"/>
  <c r="H73" i="1"/>
  <c r="O73" i="1" s="1"/>
  <c r="P73" i="1" s="1"/>
  <c r="K9" i="1"/>
  <c r="H9" i="1"/>
  <c r="K18" i="1"/>
  <c r="H18" i="1"/>
  <c r="J7" i="1"/>
  <c r="H7" i="1"/>
  <c r="J13" i="1"/>
  <c r="H13" i="1"/>
  <c r="J44" i="1"/>
  <c r="H44" i="1"/>
  <c r="J47" i="1"/>
  <c r="H47" i="1"/>
  <c r="J3" i="1" l="1"/>
  <c r="O44" i="1"/>
  <c r="P44" i="1" s="1"/>
  <c r="L44" i="1"/>
  <c r="O9" i="1"/>
  <c r="P9" i="1" s="1"/>
  <c r="L9" i="1"/>
  <c r="L47" i="1"/>
  <c r="O47" i="1"/>
  <c r="P47" i="1" s="1"/>
  <c r="L13" i="1"/>
  <c r="O13" i="1"/>
  <c r="P13" i="1" s="1"/>
  <c r="L18" i="1"/>
  <c r="O18" i="1"/>
  <c r="P18" i="1" s="1"/>
  <c r="L37" i="1"/>
  <c r="O37" i="1"/>
  <c r="P37" i="1" s="1"/>
  <c r="O24" i="1"/>
  <c r="P24" i="1" s="1"/>
  <c r="L24" i="1"/>
  <c r="O19" i="1"/>
  <c r="P19" i="1" s="1"/>
  <c r="L19" i="1"/>
  <c r="O12" i="1"/>
  <c r="P12" i="1" s="1"/>
  <c r="L12" i="1"/>
  <c r="O6" i="1"/>
  <c r="P6" i="1" s="1"/>
  <c r="L6" i="1"/>
  <c r="L45" i="1"/>
  <c r="O45" i="1"/>
  <c r="P45" i="1" s="1"/>
  <c r="L8" i="1"/>
  <c r="O8" i="1"/>
  <c r="P8" i="1" s="1"/>
  <c r="O27" i="1"/>
  <c r="P27" i="1" s="1"/>
  <c r="L27" i="1"/>
  <c r="O20" i="1"/>
  <c r="P20" i="1" s="1"/>
  <c r="L20" i="1"/>
  <c r="L11" i="1"/>
  <c r="O11" i="1"/>
  <c r="P11" i="1" s="1"/>
  <c r="O7" i="1"/>
  <c r="P7" i="1" s="1"/>
  <c r="L7" i="1"/>
  <c r="L39" i="1"/>
  <c r="O39" i="1"/>
  <c r="P39" i="1" s="1"/>
  <c r="L26" i="1"/>
  <c r="O26" i="1"/>
  <c r="P26" i="1" s="1"/>
  <c r="L22" i="1"/>
  <c r="O22" i="1"/>
  <c r="P22" i="1" s="1"/>
  <c r="L16" i="1"/>
  <c r="O16" i="1"/>
  <c r="P16" i="1" s="1"/>
  <c r="O10" i="1"/>
  <c r="P10" i="1" s="1"/>
  <c r="L10" i="1"/>
  <c r="O23" i="1"/>
  <c r="P23" i="1" s="1"/>
  <c r="L23" i="1"/>
  <c r="L14" i="1"/>
  <c r="O14" i="1"/>
  <c r="P14" i="1" s="1"/>
  <c r="O38" i="1"/>
  <c r="P38" i="1" s="1"/>
  <c r="L38" i="1"/>
  <c r="O25" i="1"/>
  <c r="P25" i="1" s="1"/>
  <c r="L25" i="1"/>
  <c r="L15" i="1"/>
  <c r="O15" i="1"/>
  <c r="P15" i="1" s="1"/>
  <c r="L5" i="1"/>
  <c r="O5" i="1"/>
  <c r="P5" i="1" s="1"/>
</calcChain>
</file>

<file path=xl/sharedStrings.xml><?xml version="1.0" encoding="utf-8"?>
<sst xmlns="http://schemas.openxmlformats.org/spreadsheetml/2006/main" count="99" uniqueCount="92">
  <si>
    <t>Socios de la RSCE</t>
  </si>
  <si>
    <t>Resto usuarios de la RSCE</t>
  </si>
  <si>
    <t>PEDIGREES Y TRANSFERENCIAS DE PROPIEDAD</t>
  </si>
  <si>
    <r>
      <t xml:space="preserve">PEDIGREE </t>
    </r>
    <r>
      <rPr>
        <b/>
        <sz val="8"/>
        <color theme="1"/>
        <rFont val="Calibri"/>
        <family val="2"/>
      </rPr>
      <t>CON</t>
    </r>
    <r>
      <rPr>
        <sz val="8"/>
        <color theme="1"/>
        <rFont val="Calibri"/>
        <family val="2"/>
      </rPr>
      <t xml:space="preserve"> TRANSFERENCIA TRES GENERACIONES</t>
    </r>
  </si>
  <si>
    <r>
      <t xml:space="preserve">PEDIGREE </t>
    </r>
    <r>
      <rPr>
        <b/>
        <sz val="8"/>
        <color theme="1"/>
        <rFont val="Calibri"/>
        <family val="2"/>
      </rPr>
      <t>CON</t>
    </r>
    <r>
      <rPr>
        <sz val="8"/>
        <color theme="1"/>
        <rFont val="Calibri"/>
        <family val="2"/>
      </rPr>
      <t xml:space="preserve"> TRANSFERENCIA CUATRO GENERACIONES (si la genealogía consta en la base de datos del L.O.E.)</t>
    </r>
  </si>
  <si>
    <t>PEDIGREE PARA PERROS INSCRITOS EN EL R.R.C. (sin genealógica completa)</t>
  </si>
  <si>
    <t>PEDIGREE DE EXPORTACIÓN TRES GENERACIONES</t>
  </si>
  <si>
    <t>PEDIGREE DE EXPORTACIÓN CUATRO GENERACIONES (si la genealogía consta en la base de datos del L.O.E.)</t>
  </si>
  <si>
    <r>
      <t xml:space="preserve">PEDIGREE </t>
    </r>
    <r>
      <rPr>
        <b/>
        <sz val="8"/>
        <color theme="1"/>
        <rFont val="Calibri"/>
        <family val="2"/>
      </rPr>
      <t>SIN</t>
    </r>
    <r>
      <rPr>
        <sz val="8"/>
        <color theme="1"/>
        <rFont val="Calibri"/>
        <family val="2"/>
      </rPr>
      <t xml:space="preserve"> TRANSFERENCIA</t>
    </r>
  </si>
  <si>
    <r>
      <t xml:space="preserve">PEDIGREE </t>
    </r>
    <r>
      <rPr>
        <b/>
        <sz val="8"/>
        <color theme="1"/>
        <rFont val="Calibri"/>
        <family val="2"/>
      </rPr>
      <t>SIN</t>
    </r>
    <r>
      <rPr>
        <sz val="8"/>
        <color theme="1"/>
        <rFont val="Calibri"/>
        <family val="2"/>
      </rPr>
      <t xml:space="preserve"> TRANSFERENCIA CUATRO GENERACIONES (si la genealogía consta en la base de datos del L.O.E.)</t>
    </r>
  </si>
  <si>
    <t>DUPLICADO DE PEDIGREE TRES GENERACIONES</t>
  </si>
  <si>
    <t>DUPLICADO DE PEDIGREE CUATRO GENERACIONES</t>
  </si>
  <si>
    <t>DUPLICADO EXPORT PEDIGREE TRES GENERACIONES</t>
  </si>
  <si>
    <t>DUPLICADO EXPORT PEDIGREE CUATRO GENERACIONES</t>
  </si>
  <si>
    <t>TRANSFERENCIA DE PROPIEDAD EN PEDIGREE, REGISTRO INICIAL O PERRO IMPORTADO</t>
  </si>
  <si>
    <t>CESIÓN TEMPORAL DE PROPIEDAD DE LOS REPRODUCTORES</t>
  </si>
  <si>
    <t>INSCRIPCIONES EN EL L.O.E. / R.R.C.</t>
  </si>
  <si>
    <t>INSCRIPCIÓN IMPORTADOS</t>
  </si>
  <si>
    <r>
      <t>INSCRIPCIÓN PERROS DE OTROS LIBROS GENEALÓGICOS (</t>
    </r>
    <r>
      <rPr>
        <b/>
        <sz val="8"/>
        <color theme="1"/>
        <rFont val="Calibri"/>
        <family val="2"/>
      </rPr>
      <t>ESTE TRÁMITE NO ADMITE PLUS DE URGENCIA)</t>
    </r>
  </si>
  <si>
    <t>INSCRIPCIÓN CACHORRO</t>
  </si>
  <si>
    <t>DUPLICADO JUSTIFICANTE DE INSCRIPCIÓN</t>
  </si>
  <si>
    <t>BAJA DE UN PERRO EN EL L.O.E./R.R.C. (para su posterior inscripción de otros libros genealógicos)</t>
  </si>
  <si>
    <t>IDENTIFICACIÓN GENÉTICA</t>
  </si>
  <si>
    <t>ANALÍTICA IDENTIFICACIÓN GENÉTICA CANINA A.D.N. / PRUEBAS DE PATERNIDAD (por perro) / SANGRE</t>
  </si>
  <si>
    <t>ANALÍTICA IDENTIFICACIÓN GENÉTICA CANINA A.D.N. / PRUEBAS DE PATERNIDAD (por perro) / SALIVA</t>
  </si>
  <si>
    <t>DISPLASIA</t>
  </si>
  <si>
    <t>TRAMITACIÓN VALORACIÓN DEL GRADO DE DISPLASIA DE CODOS</t>
  </si>
  <si>
    <t>TRAMITACIÓN VALORACIÓN DEL GRADO DE DISPLASIA DE CADERA</t>
  </si>
  <si>
    <t>RECURSO AL DIAGNOSTICO DE DISPLASIA</t>
  </si>
  <si>
    <t>CERTIFICADO INTERNACIONAL DE DISPLASIA</t>
  </si>
  <si>
    <t>AFIJOS</t>
  </si>
  <si>
    <t>SOLICITUD DE AFIJO</t>
  </si>
  <si>
    <t>RECTIFICACIÓN DE AFIJO</t>
  </si>
  <si>
    <t>DUPLICADO DE AFIJO</t>
  </si>
  <si>
    <t>Usuarios de la RSCE</t>
  </si>
  <si>
    <t>REGISTROS INICIALES Y CONFIRMACIONES DE RAZA</t>
  </si>
  <si>
    <t>REGISTRO INICIAL DE RAZA</t>
  </si>
  <si>
    <t>CONFIRMACIÓN DE RAZA (perros de razas españolas)</t>
  </si>
  <si>
    <t>IMPRESOS</t>
  </si>
  <si>
    <t>IMPRESO ALTA DE CAMADA</t>
  </si>
  <si>
    <t>INFORMES SOLICITADOS A LA R.S.C.E. (precio por folio impreso)</t>
  </si>
  <si>
    <t>PLUS POR TRAMITACIÓN URGENTE</t>
  </si>
  <si>
    <t>TRABAJO (IPO / OBEDIENCIA / MONDIORING)</t>
  </si>
  <si>
    <t xml:space="preserve"> LICENCIA INICIAL</t>
  </si>
  <si>
    <t>RENOVACIÓN ANUAL LICENCIA</t>
  </si>
  <si>
    <t xml:space="preserve">CUOTA ANUAL GRUPO DE TRABAJO  </t>
  </si>
  <si>
    <t>CUOTA ANUAL MULTIDISCIPLINAR</t>
  </si>
  <si>
    <t>CERTIFICADO DE TRABAJO</t>
  </si>
  <si>
    <t>CARTILLA DE PRUEBAS DEPORTIVAS DE TRABAJO</t>
  </si>
  <si>
    <t>CASTILLA ASISTENTE</t>
  </si>
  <si>
    <t>AGILITY</t>
  </si>
  <si>
    <t>LICENCIA INICIAL</t>
  </si>
  <si>
    <t>CUOTA ANUAL CLUB AGILITY</t>
  </si>
  <si>
    <t>CARTILLA DE PRUEBAS DEPORTIVAS DE AGILITY</t>
  </si>
  <si>
    <t>3ª MEDICIÓN EJEMPLARES PARA DETERMINAR CATEGORIA DE PARTICIÓN (según Reglamento)</t>
  </si>
  <si>
    <t>MUESTRA, RASTRO Y MADRIGUERA</t>
  </si>
  <si>
    <t>CARTILLA DE PRUEBAS DEPORTIVAS DE CAZA</t>
  </si>
  <si>
    <t>IMPRESO PARA PRUEBAS DE C.A.C.T. – C.A.C.I.T.</t>
  </si>
  <si>
    <t>IMPRESO DIPLOMA DE INICIACIÓN (original y 3 copias)</t>
  </si>
  <si>
    <t>IMPRESO PRUEBAS APTITUDES NATURALES (original y 3 copias)</t>
  </si>
  <si>
    <t>CERTIFICADO DE TRABAJO PERROS DE MUESTRAS, RASTRO Y MADRIGUERA</t>
  </si>
  <si>
    <t>CARTILLAS PERROS DE RASTRO DEL GRUPO 6º</t>
  </si>
  <si>
    <t xml:space="preserve">1ª CARTILLA </t>
  </si>
  <si>
    <t xml:space="preserve">2ª CARTILLA </t>
  </si>
  <si>
    <t xml:space="preserve">3ª CARTILLA </t>
  </si>
  <si>
    <t>4ª CARTILLA Y SUCESIVAS HASTA EL NÚMERO MÁXIMO DEL PERROS QUE PUEDAN COMPONER UNA JAURÍA SEGÚN REGLAMENTO</t>
  </si>
  <si>
    <t>OTROS SERVICIOS</t>
  </si>
  <si>
    <t>CARTILLA PARA PREUBAS DEPORTIVAS POLIVALÉNTES - PERRO DE AGUA ESPAÑOL</t>
  </si>
  <si>
    <t>EXPEDICIÓN TITULOS DE CAMPEONES</t>
  </si>
  <si>
    <t>TRAMITACIÓN TITULOS FCI</t>
  </si>
  <si>
    <t>SOCIOS</t>
  </si>
  <si>
    <t>CUOTA INICIAL SOCIO (incluida la cuota del primer año natural)</t>
  </si>
  <si>
    <t>CUOTA ANUAL SOCIO</t>
  </si>
  <si>
    <t xml:space="preserve"> </t>
  </si>
  <si>
    <t>RECARGO 100% EN INSCRIPCIÓN CACHORRO (más de 6 meses y menos de 9 meses de edad) Art. 6.13 Reglamento L.O.E.</t>
  </si>
  <si>
    <t>RECARGO 200% EN INSCRIPCIÓN CACHORRO (más de 9 meses y menos de 12 meses de edad) Art. 6.13 Reglamento L.O.E.</t>
  </si>
  <si>
    <t>RECARGO 300% EN INSCRIPCIÓN CACHORRO (más de 12 meses y menos de 18 meses de edad) Art. 6.13 Reglamento L.O.E.</t>
  </si>
  <si>
    <t>año</t>
  </si>
  <si>
    <t>propuesta año</t>
  </si>
  <si>
    <t>FORMULARIO IDENTIFICACIÓN (por cachorro al notificar nacimiento) RSCE</t>
  </si>
  <si>
    <t>FORMULARIO IDENTIFICACIÓN (por cachorro al notificar nacimiento) ORIGEN</t>
  </si>
  <si>
    <t>POR PERRO INSCRITO EN CADA PRUEBA CON CAC / CACT</t>
  </si>
  <si>
    <t>VARIOS</t>
  </si>
  <si>
    <t>Caninas sin IVA</t>
  </si>
  <si>
    <t>TRAMITACIÓN URGENTE DE CAMADAS, PEDIGREES Y PEDIGREES DE EXPORTACIÓN</t>
  </si>
  <si>
    <t>TRAMITACION URGENTE CARTILLAS DE PRUEBAS DEPORTIVAS</t>
  </si>
  <si>
    <t>TRAMITACION URGENTE CERTIFICADOS DE COLA CORTA</t>
  </si>
  <si>
    <t>TRAMITACION URGENTE CASTILLAS DE ASISTENTE</t>
  </si>
  <si>
    <t>TRAMITACIÓN URGENTE CERTIFICADOS DE TRABAJO</t>
  </si>
  <si>
    <t>CARTILLA DE PRUEBAS DEPORTIVAS PARA PERROS SIN PEDIGREE</t>
  </si>
  <si>
    <t>CERTIFICADO DE COLA CORTA</t>
  </si>
  <si>
    <t>Margen Colaboradoras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</si>
</sst>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</font>
    <font>
      <b/>
      <sz val="9"/>
      <color theme="1"/>
      <name val="Calibri"/>
      <family val="2"/>
    </font>
    <font>
      <b/>
      <sz val="8"/>
      <color theme="1"/>
      <name val="Calibri"/>
      <family val="2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6DDE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</fills>
  <borders count="33">
    <border>
      <left/>
      <right/>
      <top/>
      <bottom/>
      <diagonal/>
    </border>
    <border>
      <left/>
      <right style="medium">
        <color rgb="FF00000A"/>
      </right>
      <top/>
      <bottom style="medium">
        <color rgb="FF00000A"/>
      </bottom>
      <diagonal/>
    </border>
    <border>
      <left/>
      <right style="medium">
        <color rgb="FF00000A"/>
      </right>
      <top style="medium">
        <color rgb="FF00000A"/>
      </top>
      <bottom style="medium">
        <color rgb="FF00000A"/>
      </bottom>
      <diagonal/>
    </border>
    <border>
      <left style="medium">
        <color rgb="FF00000A"/>
      </left>
      <right style="medium">
        <color rgb="FF00000A"/>
      </right>
      <top/>
      <bottom style="medium">
        <color rgb="FF00000A"/>
      </bottom>
      <diagonal/>
    </border>
    <border>
      <left/>
      <right/>
      <top/>
      <bottom style="medium">
        <color rgb="FF00000A"/>
      </bottom>
      <diagonal/>
    </border>
    <border>
      <left style="medium">
        <color rgb="FF00000A"/>
      </left>
      <right style="medium">
        <color rgb="FF00000A"/>
      </right>
      <top/>
      <bottom/>
      <diagonal/>
    </border>
    <border>
      <left/>
      <right style="medium">
        <color rgb="FF00000A"/>
      </right>
      <top/>
      <bottom/>
      <diagonal/>
    </border>
    <border>
      <left style="medium">
        <color rgb="FF00000A"/>
      </left>
      <right/>
      <top style="medium">
        <color rgb="FF00000A"/>
      </top>
      <bottom style="medium">
        <color rgb="FF00000A"/>
      </bottom>
      <diagonal/>
    </border>
    <border>
      <left/>
      <right/>
      <top style="medium">
        <color rgb="FF00000A"/>
      </top>
      <bottom style="medium">
        <color rgb="FF00000A"/>
      </bottom>
      <diagonal/>
    </border>
    <border>
      <left style="medium">
        <color rgb="FF00000A"/>
      </left>
      <right style="medium">
        <color rgb="FF00000A"/>
      </right>
      <top style="medium">
        <color rgb="FF00000A"/>
      </top>
      <bottom/>
      <diagonal/>
    </border>
    <border>
      <left style="medium">
        <color rgb="FF00000A"/>
      </left>
      <right/>
      <top style="medium">
        <color rgb="FF00000A"/>
      </top>
      <bottom/>
      <diagonal/>
    </border>
    <border>
      <left/>
      <right style="medium">
        <color rgb="FF00000A"/>
      </right>
      <top style="medium">
        <color rgb="FF00000A"/>
      </top>
      <bottom/>
      <diagonal/>
    </border>
    <border>
      <left style="medium">
        <color rgb="FF00000A"/>
      </left>
      <right/>
      <top/>
      <bottom/>
      <diagonal/>
    </border>
    <border>
      <left style="medium">
        <color rgb="FF00000A"/>
      </left>
      <right style="medium">
        <color rgb="FF00000A"/>
      </right>
      <top style="medium">
        <color rgb="FF00000A"/>
      </top>
      <bottom style="medium">
        <color rgb="FF00000A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A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A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00000A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00000A"/>
      </left>
      <right/>
      <top/>
      <bottom style="medium">
        <color rgb="FF00000A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A"/>
      </left>
      <right style="medium">
        <color rgb="FF00000A"/>
      </right>
      <top style="medium">
        <color indexed="64"/>
      </top>
      <bottom style="medium">
        <color indexed="64"/>
      </bottom>
      <diagonal/>
    </border>
    <border>
      <left style="medium">
        <color rgb="FF00000A"/>
      </left>
      <right style="medium">
        <color rgb="FF00000A"/>
      </right>
      <top style="medium">
        <color indexed="64"/>
      </top>
      <bottom style="medium">
        <color rgb="FF00000A"/>
      </bottom>
      <diagonal/>
    </border>
    <border>
      <left style="medium">
        <color rgb="FF00000A"/>
      </left>
      <right style="medium">
        <color rgb="FF00000A"/>
      </right>
      <top style="medium">
        <color rgb="FF00000A"/>
      </top>
      <bottom style="medium">
        <color indexed="64"/>
      </bottom>
      <diagonal/>
    </border>
    <border>
      <left style="medium">
        <color rgb="FF00000A"/>
      </left>
      <right style="medium">
        <color rgb="FF00000A"/>
      </right>
      <top style="medium">
        <color indexed="64"/>
      </top>
      <bottom/>
      <diagonal/>
    </border>
    <border>
      <left style="medium">
        <color rgb="FF00000A"/>
      </left>
      <right style="medium">
        <color rgb="FF00000A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A"/>
      </bottom>
      <diagonal/>
    </border>
    <border>
      <left style="medium">
        <color indexed="64"/>
      </left>
      <right style="medium">
        <color indexed="64"/>
      </right>
      <top style="medium">
        <color rgb="FF00000A"/>
      </top>
      <bottom style="medium">
        <color rgb="FF00000A"/>
      </bottom>
      <diagonal/>
    </border>
    <border>
      <left style="medium">
        <color indexed="64"/>
      </left>
      <right style="medium">
        <color indexed="64"/>
      </right>
      <top style="medium">
        <color rgb="FF00000A"/>
      </top>
      <bottom style="medium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2" fillId="0" borderId="13" xfId="0" applyFont="1" applyBorder="1" applyAlignment="1">
      <alignment horizontal="center" vertical="center" wrapText="1"/>
    </xf>
    <xf numFmtId="4" fontId="3" fillId="0" borderId="13" xfId="0" applyNumberFormat="1" applyFont="1" applyBorder="1" applyAlignment="1">
      <alignment horizontal="right" vertical="center" wrapText="1" indent="1"/>
    </xf>
    <xf numFmtId="4" fontId="0" fillId="0" borderId="0" xfId="0" applyNumberFormat="1"/>
    <xf numFmtId="4" fontId="3" fillId="0" borderId="13" xfId="0" applyNumberFormat="1" applyFont="1" applyBorder="1" applyAlignment="1">
      <alignment horizontal="center" vertical="center" wrapText="1"/>
    </xf>
    <xf numFmtId="4" fontId="3" fillId="0" borderId="13" xfId="0" applyNumberFormat="1" applyFont="1" applyBorder="1" applyAlignment="1">
      <alignment horizontal="right" vertical="center" indent="1"/>
    </xf>
    <xf numFmtId="4" fontId="3" fillId="0" borderId="1" xfId="0" applyNumberFormat="1" applyFont="1" applyBorder="1" applyAlignment="1">
      <alignment horizontal="right" vertical="center" wrapText="1" indent="1"/>
    </xf>
    <xf numFmtId="4" fontId="3" fillId="0" borderId="3" xfId="0" applyNumberFormat="1" applyFont="1" applyBorder="1" applyAlignment="1">
      <alignment horizontal="right" vertical="center" wrapText="1" indent="1"/>
    </xf>
    <xf numFmtId="0" fontId="2" fillId="0" borderId="14" xfId="0" applyFont="1" applyBorder="1" applyAlignment="1">
      <alignment horizontal="center" vertical="center" wrapText="1"/>
    </xf>
    <xf numFmtId="4" fontId="3" fillId="0" borderId="9" xfId="0" applyNumberFormat="1" applyFont="1" applyBorder="1" applyAlignment="1">
      <alignment horizontal="right" vertical="center" wrapText="1" indent="1"/>
    </xf>
    <xf numFmtId="0" fontId="1" fillId="0" borderId="15" xfId="0" applyFont="1" applyBorder="1" applyAlignment="1">
      <alignment vertical="center" wrapText="1"/>
    </xf>
    <xf numFmtId="4" fontId="3" fillId="0" borderId="16" xfId="0" applyNumberFormat="1" applyFont="1" applyBorder="1" applyAlignment="1">
      <alignment horizontal="right" vertical="center" wrapText="1" indent="1"/>
    </xf>
    <xf numFmtId="4" fontId="3" fillId="0" borderId="0" xfId="0" applyNumberFormat="1" applyFont="1" applyBorder="1" applyAlignment="1">
      <alignment horizontal="right" vertical="center" wrapText="1" indent="1"/>
    </xf>
    <xf numFmtId="4" fontId="3" fillId="0" borderId="4" xfId="0" applyNumberFormat="1" applyFont="1" applyBorder="1" applyAlignment="1">
      <alignment horizontal="right" vertical="center" wrapText="1" indent="1"/>
    </xf>
    <xf numFmtId="0" fontId="0" fillId="0" borderId="0" xfId="0" applyBorder="1"/>
    <xf numFmtId="0" fontId="1" fillId="0" borderId="14" xfId="0" applyFont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2" fillId="0" borderId="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 indent="1"/>
    </xf>
    <xf numFmtId="0" fontId="2" fillId="0" borderId="11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4" fontId="3" fillId="0" borderId="10" xfId="0" applyNumberFormat="1" applyFont="1" applyBorder="1" applyAlignment="1">
      <alignment horizontal="right" vertical="center" wrapText="1" indent="1"/>
    </xf>
    <xf numFmtId="4" fontId="3" fillId="0" borderId="19" xfId="0" applyNumberFormat="1" applyFont="1" applyBorder="1" applyAlignment="1">
      <alignment horizontal="right" vertical="center" wrapText="1" indent="1"/>
    </xf>
    <xf numFmtId="4" fontId="3" fillId="0" borderId="14" xfId="0" applyNumberFormat="1" applyFont="1" applyBorder="1" applyAlignment="1">
      <alignment horizontal="right" vertical="center" wrapText="1" indent="1"/>
    </xf>
    <xf numFmtId="4" fontId="3" fillId="0" borderId="6" xfId="0" applyNumberFormat="1" applyFont="1" applyBorder="1" applyAlignment="1">
      <alignment horizontal="right" vertical="center" wrapText="1" indent="1"/>
    </xf>
    <xf numFmtId="0" fontId="2" fillId="0" borderId="9" xfId="0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right" vertical="center" wrapText="1" indent="1"/>
    </xf>
    <xf numFmtId="4" fontId="3" fillId="0" borderId="9" xfId="0" applyNumberFormat="1" applyFont="1" applyBorder="1" applyAlignment="1">
      <alignment horizontal="center" vertical="center" wrapText="1"/>
    </xf>
    <xf numFmtId="0" fontId="1" fillId="0" borderId="0" xfId="0" applyFont="1" applyBorder="1" applyAlignment="1">
      <alignment vertical="center" wrapText="1"/>
    </xf>
    <xf numFmtId="4" fontId="3" fillId="0" borderId="20" xfId="0" applyNumberFormat="1" applyFont="1" applyBorder="1" applyAlignment="1">
      <alignment horizontal="right" vertical="center" wrapText="1" indent="1"/>
    </xf>
    <xf numFmtId="4" fontId="3" fillId="0" borderId="7" xfId="0" applyNumberFormat="1" applyFont="1" applyBorder="1" applyAlignment="1">
      <alignment horizontal="right" vertical="center" wrapText="1" indent="1"/>
    </xf>
    <xf numFmtId="4" fontId="3" fillId="0" borderId="14" xfId="0" applyNumberFormat="1" applyFont="1" applyBorder="1" applyAlignment="1">
      <alignment vertical="center" wrapText="1"/>
    </xf>
    <xf numFmtId="4" fontId="3" fillId="0" borderId="21" xfId="0" applyNumberFormat="1" applyFont="1" applyBorder="1" applyAlignment="1">
      <alignment vertical="center" wrapText="1"/>
    </xf>
    <xf numFmtId="4" fontId="3" fillId="3" borderId="13" xfId="0" applyNumberFormat="1" applyFont="1" applyFill="1" applyBorder="1" applyAlignment="1">
      <alignment horizontal="center" vertical="center" wrapText="1"/>
    </xf>
    <xf numFmtId="4" fontId="3" fillId="3" borderId="13" xfId="0" applyNumberFormat="1" applyFont="1" applyFill="1" applyBorder="1" applyAlignment="1">
      <alignment horizontal="right" vertical="center" wrapText="1" indent="1"/>
    </xf>
    <xf numFmtId="4" fontId="3" fillId="3" borderId="9" xfId="0" applyNumberFormat="1" applyFont="1" applyFill="1" applyBorder="1" applyAlignment="1">
      <alignment horizontal="right" vertical="center" wrapText="1" indent="1"/>
    </xf>
    <xf numFmtId="4" fontId="3" fillId="0" borderId="3" xfId="0" applyNumberFormat="1" applyFont="1" applyBorder="1" applyAlignment="1">
      <alignment horizontal="right" vertical="center" wrapText="1"/>
    </xf>
    <xf numFmtId="4" fontId="0" fillId="3" borderId="27" xfId="0" applyNumberFormat="1" applyFill="1" applyBorder="1" applyAlignment="1">
      <alignment horizontal="center" vertical="center" wrapText="1"/>
    </xf>
    <xf numFmtId="4" fontId="3" fillId="3" borderId="25" xfId="0" applyNumberFormat="1" applyFont="1" applyFill="1" applyBorder="1" applyAlignment="1">
      <alignment horizontal="right" vertical="center" wrapText="1"/>
    </xf>
    <xf numFmtId="4" fontId="3" fillId="3" borderId="25" xfId="0" applyNumberFormat="1" applyFont="1" applyFill="1" applyBorder="1" applyAlignment="1">
      <alignment horizontal="center" vertical="center" wrapText="1"/>
    </xf>
    <xf numFmtId="4" fontId="3" fillId="3" borderId="26" xfId="0" applyNumberFormat="1" applyFont="1" applyFill="1" applyBorder="1" applyAlignment="1">
      <alignment horizontal="right" vertical="center" wrapText="1" indent="1"/>
    </xf>
    <xf numFmtId="4" fontId="0" fillId="3" borderId="13" xfId="0" applyNumberFormat="1" applyFill="1" applyBorder="1" applyAlignment="1">
      <alignment horizontal="center" vertical="center" wrapText="1"/>
    </xf>
    <xf numFmtId="4" fontId="3" fillId="3" borderId="27" xfId="0" applyNumberFormat="1" applyFont="1" applyFill="1" applyBorder="1" applyAlignment="1">
      <alignment horizontal="right" vertical="center" wrapText="1" indent="1"/>
    </xf>
    <xf numFmtId="4" fontId="3" fillId="3" borderId="3" xfId="0" applyNumberFormat="1" applyFont="1" applyFill="1" applyBorder="1" applyAlignment="1">
      <alignment horizontal="right" vertical="center" wrapText="1" indent="1"/>
    </xf>
    <xf numFmtId="4" fontId="0" fillId="3" borderId="26" xfId="0" applyNumberFormat="1" applyFill="1" applyBorder="1" applyAlignment="1">
      <alignment horizontal="center" vertical="center" wrapText="1"/>
    </xf>
    <xf numFmtId="4" fontId="3" fillId="0" borderId="13" xfId="0" applyNumberFormat="1" applyFont="1" applyFill="1" applyBorder="1" applyAlignment="1">
      <alignment horizontal="right" vertical="center" wrapText="1" indent="1"/>
    </xf>
    <xf numFmtId="4" fontId="3" fillId="3" borderId="14" xfId="0" applyNumberFormat="1" applyFont="1" applyFill="1" applyBorder="1" applyAlignment="1">
      <alignment horizontal="right" vertical="center" wrapText="1" indent="1"/>
    </xf>
    <xf numFmtId="4" fontId="3" fillId="3" borderId="7" xfId="0" applyNumberFormat="1" applyFont="1" applyFill="1" applyBorder="1" applyAlignment="1">
      <alignment horizontal="right" vertical="center" wrapText="1" indent="1"/>
    </xf>
    <xf numFmtId="4" fontId="3" fillId="3" borderId="28" xfId="0" applyNumberFormat="1" applyFont="1" applyFill="1" applyBorder="1" applyAlignment="1">
      <alignment horizontal="right" vertical="center" wrapText="1" indent="1"/>
    </xf>
    <xf numFmtId="4" fontId="3" fillId="3" borderId="29" xfId="0" applyNumberFormat="1" applyFont="1" applyFill="1" applyBorder="1" applyAlignment="1">
      <alignment horizontal="center" vertical="center" wrapText="1"/>
    </xf>
    <xf numFmtId="4" fontId="3" fillId="0" borderId="30" xfId="0" applyNumberFormat="1" applyFont="1" applyBorder="1" applyAlignment="1">
      <alignment horizontal="right" vertical="center" wrapText="1" indent="1"/>
    </xf>
    <xf numFmtId="4" fontId="3" fillId="0" borderId="31" xfId="0" applyNumberFormat="1" applyFont="1" applyBorder="1" applyAlignment="1">
      <alignment horizontal="right" vertical="center" wrapText="1" indent="1"/>
    </xf>
    <xf numFmtId="4" fontId="3" fillId="0" borderId="32" xfId="0" applyNumberFormat="1" applyFont="1" applyBorder="1" applyAlignment="1">
      <alignment horizontal="right" vertical="center" wrapText="1" indent="1"/>
    </xf>
    <xf numFmtId="4" fontId="3" fillId="0" borderId="13" xfId="0" applyNumberFormat="1" applyFont="1" applyBorder="1" applyAlignment="1">
      <alignment horizontal="center" vertical="center" wrapText="1"/>
    </xf>
    <xf numFmtId="4" fontId="3" fillId="0" borderId="13" xfId="0" applyNumberFormat="1" applyFont="1" applyBorder="1" applyAlignment="1">
      <alignment horizontal="right" vertical="center" wrapText="1"/>
    </xf>
    <xf numFmtId="4" fontId="3" fillId="3" borderId="3" xfId="0" applyNumberFormat="1" applyFont="1" applyFill="1" applyBorder="1" applyAlignment="1">
      <alignment horizontal="right" vertical="center" wrapText="1"/>
    </xf>
    <xf numFmtId="4" fontId="3" fillId="3" borderId="19" xfId="0" applyNumberFormat="1" applyFont="1" applyFill="1" applyBorder="1" applyAlignment="1">
      <alignment horizontal="right" vertical="center" wrapText="1"/>
    </xf>
    <xf numFmtId="4" fontId="3" fillId="0" borderId="14" xfId="0" applyNumberFormat="1" applyFont="1" applyBorder="1" applyAlignment="1">
      <alignment horizontal="center" vertical="center" wrapText="1"/>
    </xf>
    <xf numFmtId="0" fontId="1" fillId="0" borderId="27" xfId="0" applyFont="1" applyBorder="1" applyAlignment="1">
      <alignment vertical="center" wrapText="1"/>
    </xf>
    <xf numFmtId="0" fontId="4" fillId="0" borderId="0" xfId="0" applyFont="1"/>
    <xf numFmtId="10" fontId="4" fillId="0" borderId="0" xfId="0" applyNumberFormat="1" applyFont="1" applyAlignment="1">
      <alignment vertical="center"/>
    </xf>
    <xf numFmtId="10" fontId="4" fillId="0" borderId="0" xfId="0" applyNumberFormat="1" applyFont="1"/>
    <xf numFmtId="0" fontId="4" fillId="3" borderId="0" xfId="0" applyFont="1" applyFill="1"/>
    <xf numFmtId="10" fontId="4" fillId="0" borderId="0" xfId="0" applyNumberFormat="1" applyFont="1" applyBorder="1" applyAlignment="1">
      <alignment vertical="center"/>
    </xf>
    <xf numFmtId="0" fontId="4" fillId="0" borderId="0" xfId="0" applyFont="1" applyAlignment="1">
      <alignment horizontal="center"/>
    </xf>
    <xf numFmtId="4" fontId="3" fillId="4" borderId="14" xfId="0" applyNumberFormat="1" applyFont="1" applyFill="1" applyBorder="1" applyAlignment="1">
      <alignment horizontal="right" vertical="center" wrapText="1" indent="1"/>
    </xf>
    <xf numFmtId="4" fontId="3" fillId="0" borderId="13" xfId="0" applyNumberFormat="1" applyFont="1" applyBorder="1" applyAlignment="1">
      <alignment horizontal="center" vertical="center" wrapText="1"/>
    </xf>
    <xf numFmtId="0" fontId="4" fillId="0" borderId="0" xfId="0" applyFont="1" applyAlignment="1"/>
    <xf numFmtId="0" fontId="2" fillId="2" borderId="18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4" fontId="3" fillId="0" borderId="7" xfId="0" applyNumberFormat="1" applyFont="1" applyBorder="1" applyAlignment="1">
      <alignment horizontal="center" vertical="center" wrapText="1"/>
    </xf>
    <xf numFmtId="4" fontId="3" fillId="0" borderId="2" xfId="0" applyNumberFormat="1" applyFont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4" fontId="3" fillId="0" borderId="12" xfId="0" applyNumberFormat="1" applyFont="1" applyBorder="1" applyAlignment="1">
      <alignment horizontal="center" vertical="center" wrapText="1"/>
    </xf>
    <xf numFmtId="4" fontId="3" fillId="0" borderId="0" xfId="0" applyNumberFormat="1" applyFont="1" applyBorder="1" applyAlignment="1">
      <alignment horizontal="center" vertical="center" wrapText="1"/>
    </xf>
    <xf numFmtId="4" fontId="3" fillId="0" borderId="10" xfId="0" applyNumberFormat="1" applyFont="1" applyBorder="1" applyAlignment="1">
      <alignment horizontal="center" vertical="center" wrapText="1"/>
    </xf>
    <xf numFmtId="4" fontId="3" fillId="0" borderId="20" xfId="0" applyNumberFormat="1" applyFont="1" applyBorder="1" applyAlignment="1">
      <alignment horizontal="center" vertical="center" wrapText="1"/>
    </xf>
    <xf numFmtId="4" fontId="3" fillId="0" borderId="8" xfId="0" applyNumberFormat="1" applyFont="1" applyBorder="1" applyAlignment="1">
      <alignment horizontal="center" vertical="center" wrapText="1"/>
    </xf>
    <xf numFmtId="4" fontId="3" fillId="0" borderId="22" xfId="0" applyNumberFormat="1" applyFont="1" applyBorder="1" applyAlignment="1">
      <alignment horizontal="center"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4" fillId="0" borderId="0" xfId="0" applyNumberFormat="1" applyFont="1" applyAlignment="1">
      <alignment horizontal="center" vertical="center"/>
    </xf>
    <xf numFmtId="10" fontId="4" fillId="0" borderId="0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" fontId="3" fillId="0" borderId="9" xfId="0" applyNumberFormat="1" applyFont="1" applyBorder="1" applyAlignment="1">
      <alignment horizontal="center" vertical="center" wrapText="1"/>
    </xf>
    <xf numFmtId="4" fontId="0" fillId="0" borderId="9" xfId="0" applyNumberFormat="1" applyBorder="1" applyAlignment="1">
      <alignment horizontal="center" vertical="center" wrapText="1"/>
    </xf>
    <xf numFmtId="4" fontId="3" fillId="0" borderId="3" xfId="0" applyNumberFormat="1" applyFont="1" applyBorder="1" applyAlignment="1">
      <alignment horizontal="center" vertical="center" wrapText="1"/>
    </xf>
    <xf numFmtId="4" fontId="0" fillId="0" borderId="22" xfId="0" applyNumberFormat="1" applyBorder="1" applyAlignment="1">
      <alignment horizontal="center" vertical="center" wrapText="1"/>
    </xf>
    <xf numFmtId="4" fontId="0" fillId="0" borderId="10" xfId="0" applyNumberFormat="1" applyBorder="1" applyAlignment="1">
      <alignment horizontal="center" vertical="center" wrapText="1"/>
    </xf>
    <xf numFmtId="4" fontId="0" fillId="0" borderId="3" xfId="0" applyNumberFormat="1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4" fontId="3" fillId="0" borderId="13" xfId="0" applyNumberFormat="1" applyFont="1" applyBorder="1" applyAlignment="1">
      <alignment horizontal="center" vertical="center" wrapText="1"/>
    </xf>
    <xf numFmtId="4" fontId="0" fillId="0" borderId="13" xfId="0" applyNumberFormat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4" fontId="3" fillId="4" borderId="7" xfId="0" applyNumberFormat="1" applyFont="1" applyFill="1" applyBorder="1" applyAlignment="1">
      <alignment horizontal="center" vertical="center" wrapText="1"/>
    </xf>
    <xf numFmtId="4" fontId="3" fillId="4" borderId="2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0" fillId="0" borderId="7" xfId="0" applyNumberFormat="1" applyBorder="1" applyAlignment="1">
      <alignment horizontal="center" vertical="center" wrapText="1"/>
    </xf>
    <xf numFmtId="10" fontId="4" fillId="0" borderId="0" xfId="0" applyNumberFormat="1" applyFont="1" applyAlignment="1">
      <alignment vertic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2"/>
  <sheetViews>
    <sheetView tabSelected="1" topLeftCell="A64" workbookViewId="0">
      <selection activeCell="F4" sqref="F4"/>
    </sheetView>
  </sheetViews>
  <sheetFormatPr baseColWidth="10" defaultRowHeight="15" x14ac:dyDescent="0.25"/>
  <cols>
    <col min="1" max="1" width="51.42578125" customWidth="1"/>
    <col min="2" max="2" width="8.140625" customWidth="1"/>
    <col min="3" max="3" width="9" customWidth="1"/>
    <col min="4" max="4" width="7.5703125" customWidth="1"/>
    <col min="5" max="5" width="4" customWidth="1"/>
    <col min="6" max="6" width="8" customWidth="1"/>
    <col min="7" max="7" width="9.85546875" customWidth="1"/>
    <col min="8" max="8" width="7.5703125" customWidth="1"/>
    <col min="9" max="9" width="3.28515625" customWidth="1"/>
    <col min="10" max="10" width="6.42578125" customWidth="1"/>
    <col min="11" max="11" width="6.140625" customWidth="1"/>
    <col min="12" max="12" width="7.5703125" customWidth="1"/>
    <col min="13" max="13" width="3.140625" customWidth="1"/>
    <col min="14" max="14" width="7.85546875" customWidth="1"/>
    <col min="15" max="15" width="8" customWidth="1"/>
    <col min="16" max="16" width="4.7109375" customWidth="1"/>
  </cols>
  <sheetData>
    <row r="1" spans="1:16" ht="15.75" thickBot="1" x14ac:dyDescent="0.3">
      <c r="B1" s="21" t="s">
        <v>77</v>
      </c>
      <c r="C1" s="22">
        <v>2020</v>
      </c>
      <c r="D1" s="22"/>
      <c r="F1" t="s">
        <v>78</v>
      </c>
      <c r="G1" s="22"/>
      <c r="H1" s="22">
        <v>2021</v>
      </c>
    </row>
    <row r="2" spans="1:16" ht="35.25" customHeight="1" thickBot="1" x14ac:dyDescent="0.3">
      <c r="A2" s="24"/>
      <c r="B2" s="25" t="s">
        <v>0</v>
      </c>
      <c r="C2" s="26" t="s">
        <v>1</v>
      </c>
      <c r="D2" s="12" t="s">
        <v>83</v>
      </c>
      <c r="F2" s="5" t="s">
        <v>0</v>
      </c>
      <c r="G2" s="5" t="s">
        <v>1</v>
      </c>
      <c r="H2" s="12" t="s">
        <v>83</v>
      </c>
      <c r="N2" s="74" t="s">
        <v>91</v>
      </c>
      <c r="O2" s="74"/>
    </row>
    <row r="3" spans="1:16" ht="24" customHeight="1" thickBot="1" x14ac:dyDescent="0.3">
      <c r="A3" s="75" t="s">
        <v>2</v>
      </c>
      <c r="B3" s="76"/>
      <c r="C3" s="76"/>
      <c r="D3" s="77"/>
      <c r="F3" s="91">
        <v>0</v>
      </c>
      <c r="G3" s="91"/>
      <c r="H3" s="92"/>
      <c r="J3" s="90" t="e">
        <f>AVERAGEIF(J4:K85,"&gt;0")</f>
        <v>#DIV/0!</v>
      </c>
      <c r="K3" s="90"/>
      <c r="L3" s="66"/>
      <c r="M3" s="110">
        <v>2020</v>
      </c>
      <c r="N3" s="110"/>
      <c r="O3" s="71">
        <v>2021</v>
      </c>
      <c r="P3" s="66"/>
    </row>
    <row r="4" spans="1:16" ht="24" customHeight="1" thickBot="1" x14ac:dyDescent="0.3">
      <c r="A4" s="2" t="s">
        <v>3</v>
      </c>
      <c r="B4" s="10">
        <v>30.6</v>
      </c>
      <c r="C4" s="17">
        <v>45.1</v>
      </c>
      <c r="D4" s="38">
        <v>21.621470588235297</v>
      </c>
      <c r="F4" s="6">
        <f>ROUNDUP(B4*(1+$F$3),1)</f>
        <v>30.6</v>
      </c>
      <c r="G4" s="6">
        <f>ROUNDUP(C4*(1+$F$3),1)</f>
        <v>45.1</v>
      </c>
      <c r="H4" s="29">
        <f>(D4/C4)*G4</f>
        <v>21.621470588235297</v>
      </c>
      <c r="J4" s="67">
        <f>(F4/B4)-1</f>
        <v>0</v>
      </c>
      <c r="K4" s="67">
        <f>(G4/C4)-1</f>
        <v>0</v>
      </c>
      <c r="L4" s="67">
        <f>(H4/D4)-1</f>
        <v>0</v>
      </c>
      <c r="M4" s="66"/>
      <c r="N4" s="68">
        <f>D4/C4</f>
        <v>0.47941176470588243</v>
      </c>
      <c r="O4" s="68">
        <f>H4/G4</f>
        <v>0.47941176470588243</v>
      </c>
      <c r="P4" s="66" t="str">
        <f>IF(N4=O4,"OK","ERROR")</f>
        <v>OK</v>
      </c>
    </row>
    <row r="5" spans="1:16" ht="24" customHeight="1" thickBot="1" x14ac:dyDescent="0.3">
      <c r="A5" s="2" t="s">
        <v>4</v>
      </c>
      <c r="B5" s="10">
        <v>34.6</v>
      </c>
      <c r="C5" s="17">
        <v>50.9</v>
      </c>
      <c r="D5" s="38">
        <v>24.419759519038077</v>
      </c>
      <c r="F5" s="6">
        <f t="shared" ref="F5:F16" si="0">ROUNDUP(B5*(1+$F$3),1)</f>
        <v>34.6</v>
      </c>
      <c r="G5" s="6">
        <f t="shared" ref="G5:G16" si="1">ROUNDUP(C5*(1+$F$3),1)</f>
        <v>50.9</v>
      </c>
      <c r="H5" s="29">
        <f>(D5/C5)*G5</f>
        <v>24.419759519038077</v>
      </c>
      <c r="J5" s="67">
        <f t="shared" ref="J5:J16" si="2">(F5/B5)-1</f>
        <v>0</v>
      </c>
      <c r="K5" s="67">
        <f t="shared" ref="K5:K16" si="3">(G5/C5)-1</f>
        <v>0</v>
      </c>
      <c r="L5" s="67">
        <f t="shared" ref="L5:L27" si="4">(H5/D5)-1</f>
        <v>0</v>
      </c>
      <c r="M5" s="66"/>
      <c r="N5" s="68">
        <f t="shared" ref="N5:N16" si="5">D5/C5</f>
        <v>0.47975951903807618</v>
      </c>
      <c r="O5" s="68">
        <f t="shared" ref="O5:O16" si="6">H5/G5</f>
        <v>0.47975951903807618</v>
      </c>
      <c r="P5" s="66" t="str">
        <f t="shared" ref="P5:P16" si="7">IF(N5=O5,"OK","ERROR")</f>
        <v>OK</v>
      </c>
    </row>
    <row r="6" spans="1:16" ht="24" customHeight="1" thickBot="1" x14ac:dyDescent="0.3">
      <c r="A6" s="2" t="s">
        <v>5</v>
      </c>
      <c r="B6" s="10">
        <v>17.8</v>
      </c>
      <c r="C6" s="17">
        <v>26.200000000000003</v>
      </c>
      <c r="D6" s="38">
        <v>12.5678125</v>
      </c>
      <c r="F6" s="6">
        <f t="shared" si="0"/>
        <v>17.8</v>
      </c>
      <c r="G6" s="6">
        <f t="shared" si="1"/>
        <v>26.2</v>
      </c>
      <c r="H6" s="29">
        <f>(D6/C6)*G6</f>
        <v>12.567812499999999</v>
      </c>
      <c r="J6" s="67">
        <f t="shared" si="2"/>
        <v>0</v>
      </c>
      <c r="K6" s="67">
        <f t="shared" si="3"/>
        <v>0</v>
      </c>
      <c r="L6" s="67">
        <f t="shared" si="4"/>
        <v>0</v>
      </c>
      <c r="M6" s="66"/>
      <c r="N6" s="68">
        <f t="shared" si="5"/>
        <v>0.47968749999999999</v>
      </c>
      <c r="O6" s="68">
        <f t="shared" si="6"/>
        <v>0.47968749999999999</v>
      </c>
      <c r="P6" s="66" t="str">
        <f t="shared" si="7"/>
        <v>OK</v>
      </c>
    </row>
    <row r="7" spans="1:16" ht="24" customHeight="1" thickBot="1" x14ac:dyDescent="0.3">
      <c r="A7" s="2" t="s">
        <v>6</v>
      </c>
      <c r="B7" s="78">
        <v>59</v>
      </c>
      <c r="C7" s="87">
        <v>0</v>
      </c>
      <c r="D7" s="38">
        <v>32.824305084745767</v>
      </c>
      <c r="F7" s="101">
        <f t="shared" si="0"/>
        <v>59</v>
      </c>
      <c r="G7" s="101">
        <f t="shared" si="1"/>
        <v>0</v>
      </c>
      <c r="H7" s="29">
        <f>(D7/B7)*F7</f>
        <v>32.824305084745767</v>
      </c>
      <c r="J7" s="90">
        <f t="shared" si="2"/>
        <v>0</v>
      </c>
      <c r="K7" s="107" t="e">
        <f t="shared" si="3"/>
        <v>#DIV/0!</v>
      </c>
      <c r="L7" s="67">
        <f t="shared" si="4"/>
        <v>0</v>
      </c>
      <c r="M7" s="66"/>
      <c r="N7" s="68">
        <f>D7/B7</f>
        <v>0.55634415397874182</v>
      </c>
      <c r="O7" s="68">
        <f>H7/F7</f>
        <v>0.55634415397874182</v>
      </c>
      <c r="P7" s="66" t="str">
        <f t="shared" si="7"/>
        <v>OK</v>
      </c>
    </row>
    <row r="8" spans="1:16" ht="24" customHeight="1" thickBot="1" x14ac:dyDescent="0.3">
      <c r="A8" s="2" t="s">
        <v>7</v>
      </c>
      <c r="B8" s="78">
        <v>64.899999999999991</v>
      </c>
      <c r="C8" s="87">
        <v>0</v>
      </c>
      <c r="D8" s="38">
        <v>35.905084745762714</v>
      </c>
      <c r="F8" s="101">
        <f t="shared" si="0"/>
        <v>64.900000000000006</v>
      </c>
      <c r="G8" s="101">
        <f t="shared" si="1"/>
        <v>0</v>
      </c>
      <c r="H8" s="29">
        <f>(D8/B8)*F8</f>
        <v>35.905084745762721</v>
      </c>
      <c r="J8" s="90">
        <f t="shared" si="2"/>
        <v>0</v>
      </c>
      <c r="K8" s="107" t="e">
        <f t="shared" si="3"/>
        <v>#DIV/0!</v>
      </c>
      <c r="L8" s="67">
        <f t="shared" si="4"/>
        <v>0</v>
      </c>
      <c r="M8" s="66"/>
      <c r="N8" s="68">
        <f>D8/B8</f>
        <v>0.55323705309341631</v>
      </c>
      <c r="O8" s="68">
        <f>H8/F8</f>
        <v>0.55323705309341631</v>
      </c>
      <c r="P8" s="66" t="str">
        <f t="shared" si="7"/>
        <v>OK</v>
      </c>
    </row>
    <row r="9" spans="1:16" ht="24" customHeight="1" thickBot="1" x14ac:dyDescent="0.3">
      <c r="A9" s="2" t="s">
        <v>8</v>
      </c>
      <c r="B9" s="10">
        <v>27.6</v>
      </c>
      <c r="C9" s="17">
        <v>38</v>
      </c>
      <c r="D9" s="38">
        <v>18.162365591397851</v>
      </c>
      <c r="F9" s="6">
        <f t="shared" si="0"/>
        <v>27.6</v>
      </c>
      <c r="G9" s="6">
        <f t="shared" si="1"/>
        <v>38</v>
      </c>
      <c r="H9" s="29">
        <f t="shared" ref="H9:H27" si="8">(D9/C9)*G9</f>
        <v>18.162365591397851</v>
      </c>
      <c r="J9" s="67">
        <f t="shared" si="2"/>
        <v>0</v>
      </c>
      <c r="K9" s="67">
        <f t="shared" si="3"/>
        <v>0</v>
      </c>
      <c r="L9" s="67">
        <f t="shared" si="4"/>
        <v>0</v>
      </c>
      <c r="M9" s="66"/>
      <c r="N9" s="68">
        <f t="shared" si="5"/>
        <v>0.47795698924731189</v>
      </c>
      <c r="O9" s="68">
        <f t="shared" si="6"/>
        <v>0.47795698924731189</v>
      </c>
      <c r="P9" s="66" t="str">
        <f t="shared" si="7"/>
        <v>OK</v>
      </c>
    </row>
    <row r="10" spans="1:16" ht="24" customHeight="1" thickBot="1" x14ac:dyDescent="0.3">
      <c r="A10" s="4" t="s">
        <v>9</v>
      </c>
      <c r="B10" s="13">
        <v>31.400000000000002</v>
      </c>
      <c r="C10" s="27">
        <v>43.2</v>
      </c>
      <c r="D10" s="38">
        <v>19.210212765957447</v>
      </c>
      <c r="F10" s="6">
        <f t="shared" si="0"/>
        <v>31.4</v>
      </c>
      <c r="G10" s="6">
        <f t="shared" si="1"/>
        <v>43.2</v>
      </c>
      <c r="H10" s="29">
        <f t="shared" si="8"/>
        <v>19.210212765957447</v>
      </c>
      <c r="J10" s="67">
        <f t="shared" si="2"/>
        <v>0</v>
      </c>
      <c r="K10" s="67">
        <f t="shared" si="3"/>
        <v>0</v>
      </c>
      <c r="L10" s="67">
        <f t="shared" si="4"/>
        <v>0</v>
      </c>
      <c r="M10" s="66"/>
      <c r="N10" s="68">
        <f t="shared" si="5"/>
        <v>0.44468085106382976</v>
      </c>
      <c r="O10" s="68">
        <f t="shared" si="6"/>
        <v>0.44468085106382976</v>
      </c>
      <c r="P10" s="66" t="str">
        <f t="shared" si="7"/>
        <v>OK</v>
      </c>
    </row>
    <row r="11" spans="1:16" ht="24" customHeight="1" thickBot="1" x14ac:dyDescent="0.3">
      <c r="A11" s="4" t="s">
        <v>10</v>
      </c>
      <c r="B11" s="13">
        <v>27.6</v>
      </c>
      <c r="C11" s="27">
        <v>38</v>
      </c>
      <c r="D11" s="38">
        <v>18.162365591397851</v>
      </c>
      <c r="F11" s="6">
        <f t="shared" si="0"/>
        <v>27.6</v>
      </c>
      <c r="G11" s="6">
        <f t="shared" si="1"/>
        <v>38</v>
      </c>
      <c r="H11" s="29">
        <f t="shared" si="8"/>
        <v>18.162365591397851</v>
      </c>
      <c r="J11" s="67">
        <f t="shared" si="2"/>
        <v>0</v>
      </c>
      <c r="K11" s="67">
        <f t="shared" si="3"/>
        <v>0</v>
      </c>
      <c r="L11" s="67">
        <f t="shared" si="4"/>
        <v>0</v>
      </c>
      <c r="M11" s="66"/>
      <c r="N11" s="68">
        <f t="shared" si="5"/>
        <v>0.47795698924731189</v>
      </c>
      <c r="O11" s="68">
        <f t="shared" si="6"/>
        <v>0.47795698924731189</v>
      </c>
      <c r="P11" s="66" t="str">
        <f t="shared" si="7"/>
        <v>OK</v>
      </c>
    </row>
    <row r="12" spans="1:16" ht="24" customHeight="1" thickBot="1" x14ac:dyDescent="0.3">
      <c r="A12" s="14" t="s">
        <v>11</v>
      </c>
      <c r="B12" s="15">
        <v>31.400000000000002</v>
      </c>
      <c r="C12" s="28">
        <v>43.2</v>
      </c>
      <c r="D12" s="38">
        <v>19.210212765957447</v>
      </c>
      <c r="F12" s="6">
        <f t="shared" si="0"/>
        <v>31.4</v>
      </c>
      <c r="G12" s="6">
        <f t="shared" si="1"/>
        <v>43.2</v>
      </c>
      <c r="H12" s="29">
        <f t="shared" si="8"/>
        <v>19.210212765957447</v>
      </c>
      <c r="J12" s="67">
        <f t="shared" si="2"/>
        <v>0</v>
      </c>
      <c r="K12" s="67">
        <f t="shared" si="3"/>
        <v>0</v>
      </c>
      <c r="L12" s="67">
        <f t="shared" si="4"/>
        <v>0</v>
      </c>
      <c r="M12" s="66"/>
      <c r="N12" s="68">
        <f t="shared" si="5"/>
        <v>0.44468085106382976</v>
      </c>
      <c r="O12" s="68">
        <f t="shared" si="6"/>
        <v>0.44468085106382976</v>
      </c>
      <c r="P12" s="66" t="str">
        <f t="shared" si="7"/>
        <v>OK</v>
      </c>
    </row>
    <row r="13" spans="1:16" ht="24" customHeight="1" thickBot="1" x14ac:dyDescent="0.3">
      <c r="A13" s="3" t="s">
        <v>12</v>
      </c>
      <c r="B13" s="83">
        <v>53.2</v>
      </c>
      <c r="C13" s="84">
        <v>0</v>
      </c>
      <c r="D13" s="38">
        <v>29.599624060150379</v>
      </c>
      <c r="F13" s="101">
        <f t="shared" si="0"/>
        <v>53.2</v>
      </c>
      <c r="G13" s="101">
        <f t="shared" si="1"/>
        <v>0</v>
      </c>
      <c r="H13" s="29">
        <f t="shared" ref="H13:H14" si="9">(D13/B13)*F13</f>
        <v>29.599624060150383</v>
      </c>
      <c r="J13" s="90">
        <f t="shared" si="2"/>
        <v>0</v>
      </c>
      <c r="K13" s="107" t="e">
        <f t="shared" si="3"/>
        <v>#DIV/0!</v>
      </c>
      <c r="L13" s="67">
        <f t="shared" si="4"/>
        <v>0</v>
      </c>
      <c r="M13" s="66"/>
      <c r="N13" s="68">
        <f t="shared" ref="N13:N14" si="10">D13/B13</f>
        <v>0.55638391090508232</v>
      </c>
      <c r="O13" s="68">
        <f t="shared" ref="O13:O14" si="11">H13/F13</f>
        <v>0.55638391090508232</v>
      </c>
      <c r="P13" s="66" t="str">
        <f t="shared" si="7"/>
        <v>OK</v>
      </c>
    </row>
    <row r="14" spans="1:16" ht="24" customHeight="1" thickBot="1" x14ac:dyDescent="0.3">
      <c r="A14" s="4" t="s">
        <v>13</v>
      </c>
      <c r="B14" s="85">
        <v>58.300000000000004</v>
      </c>
      <c r="C14" s="86">
        <v>0</v>
      </c>
      <c r="D14" s="38">
        <v>32.148370497427102</v>
      </c>
      <c r="F14" s="101">
        <f t="shared" si="0"/>
        <v>58.3</v>
      </c>
      <c r="G14" s="101">
        <f t="shared" si="1"/>
        <v>0</v>
      </c>
      <c r="H14" s="29">
        <f t="shared" si="9"/>
        <v>32.148370497427095</v>
      </c>
      <c r="J14" s="90">
        <f t="shared" si="2"/>
        <v>0</v>
      </c>
      <c r="K14" s="107" t="e">
        <f t="shared" si="3"/>
        <v>#DIV/0!</v>
      </c>
      <c r="L14" s="67">
        <f t="shared" si="4"/>
        <v>0</v>
      </c>
      <c r="M14" s="66"/>
      <c r="N14" s="68">
        <f t="shared" si="10"/>
        <v>0.55143002568485588</v>
      </c>
      <c r="O14" s="68">
        <f t="shared" si="11"/>
        <v>0.55143002568485588</v>
      </c>
      <c r="P14" s="66" t="str">
        <f t="shared" si="7"/>
        <v>OK</v>
      </c>
    </row>
    <row r="15" spans="1:16" ht="24" customHeight="1" thickBot="1" x14ac:dyDescent="0.3">
      <c r="A15" s="14" t="s">
        <v>14</v>
      </c>
      <c r="B15" s="15">
        <v>11.6</v>
      </c>
      <c r="C15" s="28">
        <v>14</v>
      </c>
      <c r="D15" s="38">
        <v>6.7445255474452557</v>
      </c>
      <c r="F15" s="6">
        <f t="shared" si="0"/>
        <v>11.6</v>
      </c>
      <c r="G15" s="6">
        <f t="shared" si="1"/>
        <v>14</v>
      </c>
      <c r="H15" s="29">
        <f t="shared" si="8"/>
        <v>6.7445255474452557</v>
      </c>
      <c r="J15" s="67">
        <f t="shared" si="2"/>
        <v>0</v>
      </c>
      <c r="K15" s="67">
        <f t="shared" si="3"/>
        <v>0</v>
      </c>
      <c r="L15" s="67">
        <f t="shared" si="4"/>
        <v>0</v>
      </c>
      <c r="M15" s="66"/>
      <c r="N15" s="68">
        <f t="shared" si="5"/>
        <v>0.48175182481751827</v>
      </c>
      <c r="O15" s="68">
        <f t="shared" si="6"/>
        <v>0.48175182481751827</v>
      </c>
      <c r="P15" s="66" t="str">
        <f t="shared" si="7"/>
        <v>OK</v>
      </c>
    </row>
    <row r="16" spans="1:16" ht="24" customHeight="1" thickBot="1" x14ac:dyDescent="0.3">
      <c r="A16" s="3" t="s">
        <v>15</v>
      </c>
      <c r="B16" s="30">
        <v>17.3</v>
      </c>
      <c r="C16" s="16">
        <v>20.900000000000002</v>
      </c>
      <c r="D16" s="39">
        <v>9.9992156862745105</v>
      </c>
      <c r="F16" s="6">
        <f t="shared" si="0"/>
        <v>17.3</v>
      </c>
      <c r="G16" s="6">
        <f t="shared" si="1"/>
        <v>20.9</v>
      </c>
      <c r="H16" s="29">
        <f t="shared" si="8"/>
        <v>9.9992156862745087</v>
      </c>
      <c r="J16" s="67">
        <f t="shared" si="2"/>
        <v>0</v>
      </c>
      <c r="K16" s="67">
        <f t="shared" si="3"/>
        <v>0</v>
      </c>
      <c r="L16" s="67">
        <f t="shared" si="4"/>
        <v>0</v>
      </c>
      <c r="M16" s="66"/>
      <c r="N16" s="68">
        <f t="shared" si="5"/>
        <v>0.47843137254901957</v>
      </c>
      <c r="O16" s="68">
        <f t="shared" si="6"/>
        <v>0.47843137254901957</v>
      </c>
      <c r="P16" s="66" t="str">
        <f t="shared" si="7"/>
        <v>OK</v>
      </c>
    </row>
    <row r="17" spans="1:16" ht="24" customHeight="1" thickBot="1" x14ac:dyDescent="0.3">
      <c r="A17" s="80" t="s">
        <v>16</v>
      </c>
      <c r="B17" s="81"/>
      <c r="C17" s="81"/>
      <c r="D17" s="82"/>
      <c r="F17" s="7"/>
      <c r="G17" s="7"/>
      <c r="H17" s="7"/>
      <c r="J17" s="67"/>
      <c r="K17" s="67"/>
      <c r="L17" s="66"/>
      <c r="M17" s="66"/>
      <c r="N17" s="66"/>
      <c r="O17" s="66"/>
      <c r="P17" s="66"/>
    </row>
    <row r="18" spans="1:16" ht="24" customHeight="1" thickBot="1" x14ac:dyDescent="0.3">
      <c r="A18" s="2" t="s">
        <v>17</v>
      </c>
      <c r="B18" s="10">
        <v>27</v>
      </c>
      <c r="C18" s="10">
        <v>39.700000000000003</v>
      </c>
      <c r="D18" s="6">
        <v>19.033547557840617</v>
      </c>
      <c r="F18" s="6">
        <f t="shared" ref="F18:F27" si="12">ROUNDUP(B18*(1+$F$3),1)</f>
        <v>27</v>
      </c>
      <c r="G18" s="6">
        <f t="shared" ref="G18:G27" si="13">ROUNDUP(C18*(1+$F$3),1)</f>
        <v>39.700000000000003</v>
      </c>
      <c r="H18" s="6">
        <f t="shared" si="8"/>
        <v>19.033547557840617</v>
      </c>
      <c r="J18" s="67">
        <f t="shared" ref="J18:J27" si="14">(F18/B18)-1</f>
        <v>0</v>
      </c>
      <c r="K18" s="67">
        <f t="shared" ref="K18:K27" si="15">(G18/C18)-1</f>
        <v>0</v>
      </c>
      <c r="L18" s="67">
        <f t="shared" si="4"/>
        <v>0</v>
      </c>
      <c r="M18" s="66"/>
      <c r="N18" s="68">
        <f t="shared" ref="N18:N27" si="16">D18/C18</f>
        <v>0.47943444730077117</v>
      </c>
      <c r="O18" s="68">
        <f t="shared" ref="O18:O27" si="17">H18/G18</f>
        <v>0.47943444730077117</v>
      </c>
      <c r="P18" s="66" t="str">
        <f t="shared" ref="P18:P27" si="18">IF(N18=O18,"OK","ERROR")</f>
        <v>OK</v>
      </c>
    </row>
    <row r="19" spans="1:16" ht="24" customHeight="1" thickBot="1" x14ac:dyDescent="0.3">
      <c r="A19" s="2" t="s">
        <v>18</v>
      </c>
      <c r="B19" s="10">
        <v>57.300000000000004</v>
      </c>
      <c r="C19" s="10">
        <v>59</v>
      </c>
      <c r="D19" s="6">
        <v>28.3159169550173</v>
      </c>
      <c r="F19" s="6">
        <f t="shared" si="12"/>
        <v>57.3</v>
      </c>
      <c r="G19" s="6">
        <f t="shared" si="13"/>
        <v>59</v>
      </c>
      <c r="H19" s="6">
        <f t="shared" si="8"/>
        <v>28.3159169550173</v>
      </c>
      <c r="J19" s="67">
        <f t="shared" si="14"/>
        <v>0</v>
      </c>
      <c r="K19" s="67">
        <f t="shared" si="15"/>
        <v>0</v>
      </c>
      <c r="L19" s="67">
        <f t="shared" si="4"/>
        <v>0</v>
      </c>
      <c r="M19" s="66"/>
      <c r="N19" s="68">
        <f t="shared" si="16"/>
        <v>0.47993079584775084</v>
      </c>
      <c r="O19" s="68">
        <f t="shared" si="17"/>
        <v>0.47993079584775084</v>
      </c>
      <c r="P19" s="66" t="str">
        <f t="shared" si="18"/>
        <v>OK</v>
      </c>
    </row>
    <row r="20" spans="1:16" ht="24" customHeight="1" thickBot="1" x14ac:dyDescent="0.3">
      <c r="A20" s="2" t="s">
        <v>79</v>
      </c>
      <c r="B20" s="10">
        <v>2.7</v>
      </c>
      <c r="C20" s="10">
        <v>4.3</v>
      </c>
      <c r="D20" s="6">
        <v>2.6516666666666664</v>
      </c>
      <c r="F20" s="6">
        <f t="shared" si="12"/>
        <v>2.7</v>
      </c>
      <c r="G20" s="6">
        <f t="shared" si="13"/>
        <v>4.3</v>
      </c>
      <c r="H20" s="6">
        <f t="shared" si="8"/>
        <v>2.6516666666666664</v>
      </c>
      <c r="J20" s="67">
        <f t="shared" si="14"/>
        <v>0</v>
      </c>
      <c r="K20" s="67">
        <f t="shared" si="15"/>
        <v>0</v>
      </c>
      <c r="L20" s="67">
        <f t="shared" si="4"/>
        <v>0</v>
      </c>
      <c r="M20" s="66"/>
      <c r="N20" s="68">
        <f t="shared" si="16"/>
        <v>0.61666666666666659</v>
      </c>
      <c r="O20" s="68">
        <f t="shared" si="17"/>
        <v>0.61666666666666659</v>
      </c>
      <c r="P20" s="66" t="str">
        <f t="shared" si="18"/>
        <v>OK</v>
      </c>
    </row>
    <row r="21" spans="1:16" ht="24" customHeight="1" thickBot="1" x14ac:dyDescent="0.3">
      <c r="A21" s="2" t="s">
        <v>80</v>
      </c>
      <c r="B21" s="10">
        <v>2.7</v>
      </c>
      <c r="C21" s="10">
        <v>4.3</v>
      </c>
      <c r="D21" s="6">
        <v>1.9145238095238095</v>
      </c>
      <c r="F21" s="6">
        <f t="shared" si="12"/>
        <v>2.7</v>
      </c>
      <c r="G21" s="6">
        <f t="shared" si="13"/>
        <v>4.3</v>
      </c>
      <c r="H21" s="6">
        <f t="shared" si="8"/>
        <v>1.9145238095238095</v>
      </c>
      <c r="J21" s="67">
        <f t="shared" si="14"/>
        <v>0</v>
      </c>
      <c r="K21" s="67">
        <f t="shared" si="15"/>
        <v>0</v>
      </c>
      <c r="L21" s="67">
        <f t="shared" si="4"/>
        <v>0</v>
      </c>
      <c r="M21" s="66"/>
      <c r="N21" s="68">
        <f t="shared" si="16"/>
        <v>0.44523809523809527</v>
      </c>
      <c r="O21" s="68">
        <f t="shared" si="17"/>
        <v>0.44523809523809527</v>
      </c>
      <c r="P21" s="66" t="str">
        <f t="shared" si="18"/>
        <v>OK</v>
      </c>
    </row>
    <row r="22" spans="1:16" ht="24" customHeight="1" thickBot="1" x14ac:dyDescent="0.3">
      <c r="A22" s="2" t="s">
        <v>19</v>
      </c>
      <c r="B22" s="10">
        <v>14.9</v>
      </c>
      <c r="C22" s="10">
        <v>18</v>
      </c>
      <c r="D22" s="6">
        <v>8.6113636363636346</v>
      </c>
      <c r="F22" s="6">
        <f t="shared" si="12"/>
        <v>14.9</v>
      </c>
      <c r="G22" s="6">
        <f t="shared" si="13"/>
        <v>18</v>
      </c>
      <c r="H22" s="6">
        <f t="shared" si="8"/>
        <v>8.6113636363636346</v>
      </c>
      <c r="J22" s="67">
        <f t="shared" si="14"/>
        <v>0</v>
      </c>
      <c r="K22" s="67">
        <f t="shared" si="15"/>
        <v>0</v>
      </c>
      <c r="L22" s="67">
        <f t="shared" si="4"/>
        <v>0</v>
      </c>
      <c r="M22" s="66"/>
      <c r="N22" s="68">
        <f t="shared" si="16"/>
        <v>0.47840909090909078</v>
      </c>
      <c r="O22" s="68">
        <f t="shared" si="17"/>
        <v>0.47840909090909078</v>
      </c>
      <c r="P22" s="66" t="str">
        <f t="shared" si="18"/>
        <v>OK</v>
      </c>
    </row>
    <row r="23" spans="1:16" ht="24" customHeight="1" thickBot="1" x14ac:dyDescent="0.3">
      <c r="A23" s="2" t="s">
        <v>74</v>
      </c>
      <c r="B23" s="10">
        <v>14.9</v>
      </c>
      <c r="C23" s="10">
        <v>18</v>
      </c>
      <c r="D23" s="6">
        <v>8.6113636363636346</v>
      </c>
      <c r="F23" s="6">
        <f t="shared" si="12"/>
        <v>14.9</v>
      </c>
      <c r="G23" s="6">
        <f t="shared" si="13"/>
        <v>18</v>
      </c>
      <c r="H23" s="6">
        <f t="shared" si="8"/>
        <v>8.6113636363636346</v>
      </c>
      <c r="J23" s="67">
        <f t="shared" si="14"/>
        <v>0</v>
      </c>
      <c r="K23" s="67">
        <f t="shared" si="15"/>
        <v>0</v>
      </c>
      <c r="L23" s="67">
        <f t="shared" si="4"/>
        <v>0</v>
      </c>
      <c r="M23" s="66"/>
      <c r="N23" s="68">
        <f t="shared" si="16"/>
        <v>0.47840909090909078</v>
      </c>
      <c r="O23" s="68">
        <f t="shared" si="17"/>
        <v>0.47840909090909078</v>
      </c>
      <c r="P23" s="66" t="str">
        <f t="shared" si="18"/>
        <v>OK</v>
      </c>
    </row>
    <row r="24" spans="1:16" ht="24" customHeight="1" thickBot="1" x14ac:dyDescent="0.3">
      <c r="A24" s="2" t="s">
        <v>75</v>
      </c>
      <c r="B24" s="10">
        <v>29.8</v>
      </c>
      <c r="C24" s="10">
        <v>36</v>
      </c>
      <c r="D24" s="6">
        <v>17.202272727272724</v>
      </c>
      <c r="F24" s="6">
        <f t="shared" si="12"/>
        <v>29.8</v>
      </c>
      <c r="G24" s="6">
        <f t="shared" si="13"/>
        <v>36</v>
      </c>
      <c r="H24" s="6">
        <f t="shared" si="8"/>
        <v>17.202272727272724</v>
      </c>
      <c r="J24" s="67">
        <f t="shared" si="14"/>
        <v>0</v>
      </c>
      <c r="K24" s="67">
        <f t="shared" si="15"/>
        <v>0</v>
      </c>
      <c r="L24" s="67">
        <f t="shared" si="4"/>
        <v>0</v>
      </c>
      <c r="M24" s="66"/>
      <c r="N24" s="68">
        <f t="shared" si="16"/>
        <v>0.47784090909090904</v>
      </c>
      <c r="O24" s="68">
        <f t="shared" si="17"/>
        <v>0.47784090909090904</v>
      </c>
      <c r="P24" s="66" t="str">
        <f t="shared" si="18"/>
        <v>OK</v>
      </c>
    </row>
    <row r="25" spans="1:16" ht="24" customHeight="1" thickBot="1" x14ac:dyDescent="0.3">
      <c r="A25" s="2" t="s">
        <v>76</v>
      </c>
      <c r="B25" s="10">
        <v>44.7</v>
      </c>
      <c r="C25" s="10">
        <v>53.9</v>
      </c>
      <c r="D25" s="6">
        <v>25.765833333333333</v>
      </c>
      <c r="F25" s="6">
        <f t="shared" si="12"/>
        <v>44.7</v>
      </c>
      <c r="G25" s="6">
        <f t="shared" si="13"/>
        <v>53.9</v>
      </c>
      <c r="H25" s="6">
        <f t="shared" si="8"/>
        <v>25.765833333333333</v>
      </c>
      <c r="J25" s="67">
        <f t="shared" si="14"/>
        <v>0</v>
      </c>
      <c r="K25" s="67">
        <f t="shared" si="15"/>
        <v>0</v>
      </c>
      <c r="L25" s="67">
        <f t="shared" si="4"/>
        <v>0</v>
      </c>
      <c r="M25" s="66"/>
      <c r="N25" s="68">
        <f t="shared" si="16"/>
        <v>0.47803030303030303</v>
      </c>
      <c r="O25" s="68">
        <f t="shared" si="17"/>
        <v>0.47803030303030303</v>
      </c>
      <c r="P25" s="66" t="str">
        <f t="shared" si="18"/>
        <v>OK</v>
      </c>
    </row>
    <row r="26" spans="1:16" ht="24" customHeight="1" thickBot="1" x14ac:dyDescent="0.3">
      <c r="A26" s="2" t="s">
        <v>20</v>
      </c>
      <c r="B26" s="10">
        <v>4.5</v>
      </c>
      <c r="C26" s="10">
        <v>6.1999999999999993</v>
      </c>
      <c r="D26" s="6">
        <v>5.1253333333333329</v>
      </c>
      <c r="F26" s="6">
        <f t="shared" si="12"/>
        <v>4.5</v>
      </c>
      <c r="G26" s="6">
        <f t="shared" si="13"/>
        <v>6.2</v>
      </c>
      <c r="H26" s="6">
        <f t="shared" si="8"/>
        <v>5.1253333333333337</v>
      </c>
      <c r="J26" s="67">
        <f t="shared" si="14"/>
        <v>0</v>
      </c>
      <c r="K26" s="67">
        <f t="shared" si="15"/>
        <v>0</v>
      </c>
      <c r="L26" s="67">
        <f t="shared" si="4"/>
        <v>0</v>
      </c>
      <c r="M26" s="66"/>
      <c r="N26" s="68">
        <f t="shared" si="16"/>
        <v>0.82666666666666666</v>
      </c>
      <c r="O26" s="68">
        <f t="shared" si="17"/>
        <v>0.82666666666666666</v>
      </c>
      <c r="P26" s="66" t="str">
        <f t="shared" si="18"/>
        <v>OK</v>
      </c>
    </row>
    <row r="27" spans="1:16" ht="24" customHeight="1" thickBot="1" x14ac:dyDescent="0.3">
      <c r="A27" s="2" t="s">
        <v>21</v>
      </c>
      <c r="B27" s="10">
        <v>27</v>
      </c>
      <c r="C27" s="10">
        <v>39.700000000000003</v>
      </c>
      <c r="D27" s="6">
        <v>19.033547557840617</v>
      </c>
      <c r="F27" s="6">
        <f t="shared" si="12"/>
        <v>27</v>
      </c>
      <c r="G27" s="6">
        <f t="shared" si="13"/>
        <v>39.700000000000003</v>
      </c>
      <c r="H27" s="6">
        <f t="shared" si="8"/>
        <v>19.033547557840617</v>
      </c>
      <c r="J27" s="67">
        <f t="shared" si="14"/>
        <v>0</v>
      </c>
      <c r="K27" s="67">
        <f t="shared" si="15"/>
        <v>0</v>
      </c>
      <c r="L27" s="67">
        <f t="shared" si="4"/>
        <v>0</v>
      </c>
      <c r="M27" s="66"/>
      <c r="N27" s="68">
        <f t="shared" si="16"/>
        <v>0.47943444730077117</v>
      </c>
      <c r="O27" s="68">
        <f t="shared" si="17"/>
        <v>0.47943444730077117</v>
      </c>
      <c r="P27" s="66" t="str">
        <f t="shared" si="18"/>
        <v>OK</v>
      </c>
    </row>
    <row r="28" spans="1:16" ht="24" customHeight="1" thickBot="1" x14ac:dyDescent="0.3">
      <c r="A28" s="80" t="s">
        <v>22</v>
      </c>
      <c r="B28" s="81"/>
      <c r="C28" s="81"/>
      <c r="D28" s="82"/>
      <c r="F28" s="7"/>
      <c r="G28" s="7"/>
      <c r="H28" s="7"/>
      <c r="J28" s="67"/>
      <c r="K28" s="67"/>
      <c r="L28" s="66"/>
      <c r="M28" s="66"/>
      <c r="N28" s="66"/>
      <c r="O28" s="66"/>
      <c r="P28" s="66"/>
    </row>
    <row r="29" spans="1:16" ht="24" customHeight="1" thickBot="1" x14ac:dyDescent="0.3">
      <c r="A29" s="2" t="s">
        <v>23</v>
      </c>
      <c r="B29" s="88">
        <v>39.800000000000004</v>
      </c>
      <c r="C29" s="89">
        <v>0</v>
      </c>
      <c r="D29" s="40"/>
      <c r="F29" s="78">
        <f t="shared" ref="F29:F30" si="19">ROUNDUP(B29*(1+$F$3),1)</f>
        <v>39.799999999999997</v>
      </c>
      <c r="G29" s="79">
        <f t="shared" ref="G29:G30" si="20">ROUNDUP(C29*(1+$F$3),1)</f>
        <v>0</v>
      </c>
      <c r="H29" s="40"/>
      <c r="J29" s="90">
        <f>(F29/B29)-1</f>
        <v>0</v>
      </c>
      <c r="K29" s="107" t="e">
        <f>(G29/C29)-1</f>
        <v>#DIV/0!</v>
      </c>
      <c r="L29" s="66"/>
      <c r="M29" s="66"/>
      <c r="N29" s="69"/>
      <c r="O29" s="69"/>
      <c r="P29" s="66"/>
    </row>
    <row r="30" spans="1:16" ht="24" customHeight="1" thickBot="1" x14ac:dyDescent="0.3">
      <c r="A30" s="2" t="s">
        <v>24</v>
      </c>
      <c r="B30" s="78">
        <v>49.300000000000004</v>
      </c>
      <c r="C30" s="79">
        <v>0</v>
      </c>
      <c r="D30" s="40"/>
      <c r="F30" s="78">
        <f t="shared" si="19"/>
        <v>49.3</v>
      </c>
      <c r="G30" s="79">
        <f t="shared" si="20"/>
        <v>0</v>
      </c>
      <c r="H30" s="40"/>
      <c r="J30" s="90">
        <f>(F30/B30)-1</f>
        <v>0</v>
      </c>
      <c r="K30" s="107" t="e">
        <f>(G30/C30)-1</f>
        <v>#DIV/0!</v>
      </c>
      <c r="L30" s="66"/>
      <c r="M30" s="66"/>
      <c r="N30" s="69"/>
      <c r="O30" s="69"/>
      <c r="P30" s="66"/>
    </row>
    <row r="31" spans="1:16" ht="24" customHeight="1" thickBot="1" x14ac:dyDescent="0.3">
      <c r="A31" s="80" t="s">
        <v>25</v>
      </c>
      <c r="B31" s="81"/>
      <c r="C31" s="81"/>
      <c r="D31" s="20"/>
      <c r="F31" s="7"/>
      <c r="G31" s="7"/>
      <c r="H31" s="7"/>
      <c r="J31" s="67"/>
      <c r="K31" s="67"/>
      <c r="L31" s="66"/>
      <c r="M31" s="66"/>
      <c r="N31" s="66"/>
      <c r="O31" s="66"/>
      <c r="P31" s="66"/>
    </row>
    <row r="32" spans="1:16" ht="24" customHeight="1" thickBot="1" x14ac:dyDescent="0.3">
      <c r="A32" s="2" t="s">
        <v>26</v>
      </c>
      <c r="B32" s="10">
        <v>53.1</v>
      </c>
      <c r="C32" s="10">
        <v>79.599999999999994</v>
      </c>
      <c r="D32" s="41"/>
      <c r="F32" s="6">
        <f t="shared" ref="F32:F35" si="21">ROUNDUP(B32*(1+$F$3),1)</f>
        <v>53.1</v>
      </c>
      <c r="G32" s="6">
        <f t="shared" ref="G32:G35" si="22">ROUNDUP(C32*(1+$F$3),1)</f>
        <v>79.599999999999994</v>
      </c>
      <c r="H32" s="41"/>
      <c r="J32" s="67">
        <f t="shared" ref="J32:K35" si="23">(F32/B32)-1</f>
        <v>0</v>
      </c>
      <c r="K32" s="67">
        <f t="shared" si="23"/>
        <v>0</v>
      </c>
      <c r="L32" s="66"/>
      <c r="M32" s="66"/>
      <c r="N32" s="69"/>
      <c r="O32" s="69"/>
      <c r="P32" s="66"/>
    </row>
    <row r="33" spans="1:16" ht="24" customHeight="1" thickBot="1" x14ac:dyDescent="0.3">
      <c r="A33" s="2" t="s">
        <v>27</v>
      </c>
      <c r="B33" s="10">
        <v>53.1</v>
      </c>
      <c r="C33" s="10">
        <v>79.599999999999994</v>
      </c>
      <c r="D33" s="41"/>
      <c r="F33" s="6">
        <f t="shared" si="21"/>
        <v>53.1</v>
      </c>
      <c r="G33" s="6">
        <f t="shared" si="22"/>
        <v>79.599999999999994</v>
      </c>
      <c r="H33" s="41"/>
      <c r="J33" s="67">
        <f t="shared" si="23"/>
        <v>0</v>
      </c>
      <c r="K33" s="67">
        <f t="shared" si="23"/>
        <v>0</v>
      </c>
      <c r="L33" s="66"/>
      <c r="M33" s="66"/>
      <c r="N33" s="69"/>
      <c r="O33" s="69"/>
      <c r="P33" s="66"/>
    </row>
    <row r="34" spans="1:16" ht="24" customHeight="1" thickBot="1" x14ac:dyDescent="0.3">
      <c r="A34" s="2" t="s">
        <v>28</v>
      </c>
      <c r="B34" s="10">
        <v>79.599999999999994</v>
      </c>
      <c r="C34" s="10">
        <v>106</v>
      </c>
      <c r="D34" s="41"/>
      <c r="F34" s="6">
        <f t="shared" si="21"/>
        <v>79.599999999999994</v>
      </c>
      <c r="G34" s="6">
        <f t="shared" si="22"/>
        <v>106</v>
      </c>
      <c r="H34" s="41"/>
      <c r="J34" s="67">
        <f t="shared" si="23"/>
        <v>0</v>
      </c>
      <c r="K34" s="67">
        <f t="shared" si="23"/>
        <v>0</v>
      </c>
      <c r="L34" s="66"/>
      <c r="M34" s="66"/>
      <c r="N34" s="69"/>
      <c r="O34" s="69"/>
      <c r="P34" s="66"/>
    </row>
    <row r="35" spans="1:16" ht="24" customHeight="1" thickBot="1" x14ac:dyDescent="0.3">
      <c r="A35" s="3" t="s">
        <v>29</v>
      </c>
      <c r="B35" s="30">
        <v>6.6999999999999993</v>
      </c>
      <c r="C35" s="30">
        <v>10.799999999999999</v>
      </c>
      <c r="D35" s="42"/>
      <c r="F35" s="6">
        <f t="shared" si="21"/>
        <v>6.7</v>
      </c>
      <c r="G35" s="6">
        <f t="shared" si="22"/>
        <v>10.8</v>
      </c>
      <c r="H35" s="41"/>
      <c r="J35" s="67">
        <f t="shared" si="23"/>
        <v>0</v>
      </c>
      <c r="K35" s="67">
        <f t="shared" si="23"/>
        <v>0</v>
      </c>
      <c r="L35" s="66"/>
      <c r="M35" s="66"/>
      <c r="N35" s="69"/>
      <c r="O35" s="69"/>
      <c r="P35" s="66"/>
    </row>
    <row r="36" spans="1:16" ht="24" customHeight="1" thickBot="1" x14ac:dyDescent="0.3">
      <c r="A36" s="75" t="s">
        <v>30</v>
      </c>
      <c r="B36" s="76"/>
      <c r="C36" s="76"/>
      <c r="D36" s="77"/>
      <c r="F36" s="7"/>
      <c r="G36" s="7"/>
      <c r="H36" s="7"/>
      <c r="J36" s="67"/>
      <c r="K36" s="67"/>
      <c r="L36" s="66"/>
      <c r="M36" s="66"/>
      <c r="N36" s="66"/>
      <c r="O36" s="66"/>
      <c r="P36" s="66"/>
    </row>
    <row r="37" spans="1:16" ht="24" customHeight="1" thickBot="1" x14ac:dyDescent="0.3">
      <c r="A37" s="2" t="s">
        <v>31</v>
      </c>
      <c r="B37" s="10">
        <v>108.39999999999999</v>
      </c>
      <c r="C37" s="10">
        <v>139.6</v>
      </c>
      <c r="D37" s="11">
        <v>77.310643274853803</v>
      </c>
      <c r="F37" s="6">
        <f t="shared" ref="F37:F39" si="24">ROUNDUP(B37*(1+$F$3),1)</f>
        <v>108.4</v>
      </c>
      <c r="G37" s="37">
        <f t="shared" ref="G37:G39" si="25">ROUNDUP(C37*(1+$F$3),1)</f>
        <v>139.6</v>
      </c>
      <c r="H37" s="6">
        <f t="shared" ref="H37:H39" si="26">(D37/C37)*G37</f>
        <v>77.310643274853803</v>
      </c>
      <c r="J37" s="67">
        <f t="shared" ref="J37:K39" si="27">(F37/B37)-1</f>
        <v>0</v>
      </c>
      <c r="K37" s="67">
        <f t="shared" si="27"/>
        <v>0</v>
      </c>
      <c r="L37" s="67">
        <f t="shared" ref="L37:L39" si="28">(H37/D37)-1</f>
        <v>0</v>
      </c>
      <c r="M37" s="66"/>
      <c r="N37" s="68">
        <f t="shared" ref="N37:N39" si="29">D37/C37</f>
        <v>0.55380116959064329</v>
      </c>
      <c r="O37" s="68">
        <f t="shared" ref="O37:O39" si="30">H37/G37</f>
        <v>0.55380116959064329</v>
      </c>
      <c r="P37" s="66" t="str">
        <f t="shared" ref="P37:P39" si="31">IF(N37=O37,"OK","ERROR")</f>
        <v>OK</v>
      </c>
    </row>
    <row r="38" spans="1:16" ht="24" customHeight="1" thickBot="1" x14ac:dyDescent="0.3">
      <c r="A38" s="2" t="s">
        <v>32</v>
      </c>
      <c r="B38" s="10">
        <v>37.200000000000003</v>
      </c>
      <c r="C38" s="10">
        <v>47.800000000000004</v>
      </c>
      <c r="D38" s="6">
        <v>26.453418803418806</v>
      </c>
      <c r="F38" s="6">
        <f t="shared" si="24"/>
        <v>37.200000000000003</v>
      </c>
      <c r="G38" s="6">
        <f t="shared" si="25"/>
        <v>47.8</v>
      </c>
      <c r="H38" s="6">
        <f t="shared" si="26"/>
        <v>26.453418803418803</v>
      </c>
      <c r="J38" s="67">
        <f t="shared" si="27"/>
        <v>0</v>
      </c>
      <c r="K38" s="67">
        <f t="shared" si="27"/>
        <v>0</v>
      </c>
      <c r="L38" s="67">
        <f t="shared" si="28"/>
        <v>0</v>
      </c>
      <c r="M38" s="66"/>
      <c r="N38" s="68">
        <f t="shared" si="29"/>
        <v>0.55341880341880345</v>
      </c>
      <c r="O38" s="68">
        <f t="shared" si="30"/>
        <v>0.55341880341880345</v>
      </c>
      <c r="P38" s="66" t="str">
        <f t="shared" si="31"/>
        <v>OK</v>
      </c>
    </row>
    <row r="39" spans="1:16" ht="24" customHeight="1" thickBot="1" x14ac:dyDescent="0.3">
      <c r="A39" s="2" t="s">
        <v>33</v>
      </c>
      <c r="B39" s="10">
        <v>4.8</v>
      </c>
      <c r="C39" s="10">
        <v>5.6</v>
      </c>
      <c r="D39" s="6">
        <v>4.065185185185185</v>
      </c>
      <c r="F39" s="6">
        <f t="shared" si="24"/>
        <v>4.8</v>
      </c>
      <c r="G39" s="6">
        <f t="shared" si="25"/>
        <v>5.6</v>
      </c>
      <c r="H39" s="6">
        <f t="shared" si="26"/>
        <v>4.065185185185185</v>
      </c>
      <c r="J39" s="67">
        <f t="shared" si="27"/>
        <v>0</v>
      </c>
      <c r="K39" s="67">
        <f t="shared" si="27"/>
        <v>0</v>
      </c>
      <c r="L39" s="67">
        <f t="shared" si="28"/>
        <v>0</v>
      </c>
      <c r="M39" s="66"/>
      <c r="N39" s="68">
        <f t="shared" si="29"/>
        <v>0.72592592592592597</v>
      </c>
      <c r="O39" s="68">
        <f t="shared" si="30"/>
        <v>0.72592592592592597</v>
      </c>
      <c r="P39" s="66" t="str">
        <f t="shared" si="31"/>
        <v>OK</v>
      </c>
    </row>
    <row r="40" spans="1:16" ht="24" customHeight="1" x14ac:dyDescent="0.25">
      <c r="F40" s="7"/>
      <c r="G40" s="7"/>
      <c r="H40" s="7"/>
      <c r="J40" s="67"/>
      <c r="K40" s="67"/>
      <c r="L40" s="66"/>
      <c r="M40" s="66"/>
      <c r="N40" s="66"/>
      <c r="O40" s="66"/>
      <c r="P40" s="66"/>
    </row>
    <row r="41" spans="1:16" ht="24" customHeight="1" thickBot="1" x14ac:dyDescent="0.3">
      <c r="F41" s="7"/>
      <c r="G41" s="7"/>
      <c r="H41" s="7"/>
      <c r="J41" s="67"/>
      <c r="K41" s="67"/>
      <c r="L41" s="66"/>
      <c r="M41" s="66"/>
      <c r="N41" s="66"/>
      <c r="O41" s="66"/>
      <c r="P41" s="66"/>
    </row>
    <row r="42" spans="1:16" ht="24" customHeight="1" thickBot="1" x14ac:dyDescent="0.3">
      <c r="A42" s="24"/>
      <c r="B42" s="25" t="s">
        <v>0</v>
      </c>
      <c r="C42" s="31" t="s">
        <v>34</v>
      </c>
      <c r="D42" s="23"/>
      <c r="F42" s="12" t="s">
        <v>0</v>
      </c>
      <c r="G42" s="1" t="s">
        <v>34</v>
      </c>
      <c r="H42" s="23"/>
      <c r="J42" s="67"/>
      <c r="K42" s="67"/>
      <c r="L42" s="66"/>
      <c r="M42" s="66"/>
      <c r="N42" s="66"/>
      <c r="O42" s="66"/>
      <c r="P42" s="66"/>
    </row>
    <row r="43" spans="1:16" ht="24" customHeight="1" thickBot="1" x14ac:dyDescent="0.3">
      <c r="A43" s="75" t="s">
        <v>35</v>
      </c>
      <c r="B43" s="76"/>
      <c r="C43" s="76"/>
      <c r="D43" s="99"/>
      <c r="F43" s="7"/>
      <c r="G43" s="7"/>
      <c r="H43" s="7"/>
      <c r="J43" s="67"/>
      <c r="K43" s="67"/>
      <c r="L43" s="66"/>
      <c r="M43" s="66"/>
      <c r="N43" s="66"/>
      <c r="O43" s="66"/>
      <c r="P43" s="66"/>
    </row>
    <row r="44" spans="1:16" ht="24" customHeight="1" thickBot="1" x14ac:dyDescent="0.3">
      <c r="A44" s="2" t="s">
        <v>36</v>
      </c>
      <c r="B44" s="95">
        <v>41.9</v>
      </c>
      <c r="C44" s="96">
        <v>0</v>
      </c>
      <c r="D44" s="61">
        <v>15.2200477326969</v>
      </c>
      <c r="F44" s="101">
        <f t="shared" ref="F44:F45" si="32">ROUNDUP(B44*(1+$F$3),1)</f>
        <v>41.9</v>
      </c>
      <c r="G44" s="102">
        <f t="shared" ref="G44:G45" si="33">ROUNDUP(C44*(1+$F$3),1)</f>
        <v>0</v>
      </c>
      <c r="H44" s="6">
        <f t="shared" ref="H44:H45" si="34">(D44/B44)*F44</f>
        <v>15.2200477326969</v>
      </c>
      <c r="J44" s="90">
        <f>(F44/B44)-1</f>
        <v>0</v>
      </c>
      <c r="K44" s="107" t="e">
        <f>(G44/C44)-1</f>
        <v>#DIV/0!</v>
      </c>
      <c r="L44" s="67">
        <f t="shared" ref="L44:L45" si="35">(H44/D44)-1</f>
        <v>0</v>
      </c>
      <c r="M44" s="66"/>
      <c r="N44" s="68">
        <f t="shared" ref="N44:N45" si="36">D44/B44</f>
        <v>0.36324696259419809</v>
      </c>
      <c r="O44" s="68">
        <f t="shared" ref="O44:O45" si="37">H44/F44</f>
        <v>0.36324696259419809</v>
      </c>
      <c r="P44" s="66" t="str">
        <f t="shared" ref="P44:P45" si="38">IF(N44=O44,"OK","ERROR")</f>
        <v>OK</v>
      </c>
    </row>
    <row r="45" spans="1:16" ht="24" customHeight="1" thickBot="1" x14ac:dyDescent="0.3">
      <c r="A45" s="3" t="s">
        <v>37</v>
      </c>
      <c r="B45" s="93">
        <v>5.0999999999999996</v>
      </c>
      <c r="C45" s="97">
        <v>0</v>
      </c>
      <c r="D45" s="43">
        <v>4.2919607843137255</v>
      </c>
      <c r="F45" s="101">
        <f t="shared" si="32"/>
        <v>5.0999999999999996</v>
      </c>
      <c r="G45" s="102">
        <f t="shared" si="33"/>
        <v>0</v>
      </c>
      <c r="H45" s="6">
        <f t="shared" si="34"/>
        <v>4.2919607843137255</v>
      </c>
      <c r="J45" s="90">
        <f>(F45/B45)-1</f>
        <v>0</v>
      </c>
      <c r="K45" s="107" t="e">
        <f>(G45/C45)-1</f>
        <v>#DIV/0!</v>
      </c>
      <c r="L45" s="67">
        <f t="shared" si="35"/>
        <v>0</v>
      </c>
      <c r="M45" s="66"/>
      <c r="N45" s="68">
        <f t="shared" si="36"/>
        <v>0.84156093810073052</v>
      </c>
      <c r="O45" s="68">
        <f t="shared" si="37"/>
        <v>0.84156093810073052</v>
      </c>
      <c r="P45" s="66" t="str">
        <f t="shared" si="38"/>
        <v>OK</v>
      </c>
    </row>
    <row r="46" spans="1:16" ht="24" customHeight="1" thickBot="1" x14ac:dyDescent="0.3">
      <c r="A46" s="75" t="s">
        <v>38</v>
      </c>
      <c r="B46" s="76"/>
      <c r="C46" s="76"/>
      <c r="D46" s="100"/>
      <c r="F46" s="7"/>
      <c r="G46" s="7"/>
      <c r="H46" s="7"/>
      <c r="J46" s="67"/>
      <c r="K46" s="67"/>
      <c r="L46" s="66"/>
      <c r="M46" s="66"/>
      <c r="N46" s="66"/>
      <c r="O46" s="66"/>
      <c r="P46" s="66"/>
    </row>
    <row r="47" spans="1:16" ht="24" customHeight="1" thickBot="1" x14ac:dyDescent="0.3">
      <c r="A47" s="2" t="s">
        <v>39</v>
      </c>
      <c r="B47" s="95">
        <v>2.1</v>
      </c>
      <c r="C47" s="98">
        <v>0</v>
      </c>
      <c r="D47" s="43">
        <v>1.1000000000000001</v>
      </c>
      <c r="F47" s="101">
        <f t="shared" ref="F47:F48" si="39">ROUNDUP(B47*(1+$F$3),1)</f>
        <v>2.1</v>
      </c>
      <c r="G47" s="102">
        <f t="shared" ref="G47:G48" si="40">ROUNDUP(C47*(1+$F$3),1)</f>
        <v>0</v>
      </c>
      <c r="H47" s="6">
        <f t="shared" ref="H47" si="41">(D47/B47)*F47</f>
        <v>1.1000000000000001</v>
      </c>
      <c r="J47" s="90">
        <f>(F47/B47)-1</f>
        <v>0</v>
      </c>
      <c r="K47" s="107"/>
      <c r="L47" s="67">
        <f t="shared" ref="L47" si="42">(H47/D47)-1</f>
        <v>0</v>
      </c>
      <c r="M47" s="66"/>
      <c r="N47" s="68">
        <f t="shared" ref="N47" si="43">D47/B47</f>
        <v>0.52380952380952384</v>
      </c>
      <c r="O47" s="68">
        <f t="shared" ref="O47" si="44">H47/F47</f>
        <v>0.52380952380952384</v>
      </c>
      <c r="P47" s="66" t="str">
        <f>IF(N47=O47,"OK","ERROR")</f>
        <v>OK</v>
      </c>
    </row>
    <row r="48" spans="1:16" ht="24" customHeight="1" thickBot="1" x14ac:dyDescent="0.3">
      <c r="A48" s="3" t="s">
        <v>40</v>
      </c>
      <c r="B48" s="93">
        <v>11.1</v>
      </c>
      <c r="C48" s="94">
        <v>0</v>
      </c>
      <c r="D48" s="62"/>
      <c r="F48" s="101">
        <f t="shared" si="39"/>
        <v>11.1</v>
      </c>
      <c r="G48" s="102">
        <f t="shared" si="40"/>
        <v>0</v>
      </c>
      <c r="H48" s="44"/>
      <c r="J48" s="90">
        <f>(F48/B48)-1</f>
        <v>0</v>
      </c>
      <c r="K48" s="107"/>
      <c r="L48" s="66"/>
      <c r="M48" s="66"/>
      <c r="N48" s="69"/>
      <c r="O48" s="69"/>
      <c r="P48" s="66"/>
    </row>
    <row r="49" spans="1:16" ht="24" customHeight="1" thickBot="1" x14ac:dyDescent="0.3">
      <c r="A49" s="75" t="s">
        <v>41</v>
      </c>
      <c r="B49" s="76"/>
      <c r="C49" s="76"/>
      <c r="D49" s="77"/>
      <c r="F49" s="7"/>
      <c r="G49" s="7"/>
      <c r="H49" s="7"/>
      <c r="J49" s="67"/>
      <c r="K49" s="67"/>
      <c r="L49" s="66"/>
      <c r="M49" s="66"/>
      <c r="N49" s="66"/>
      <c r="O49" s="66"/>
      <c r="P49" s="66"/>
    </row>
    <row r="50" spans="1:16" ht="24" customHeight="1" thickBot="1" x14ac:dyDescent="0.3">
      <c r="A50" s="3" t="s">
        <v>84</v>
      </c>
      <c r="B50" s="32">
        <v>53.300000000000004</v>
      </c>
      <c r="C50" s="32">
        <v>57</v>
      </c>
      <c r="D50" s="45"/>
      <c r="F50" s="8">
        <f>ROUNDUP(B50*(1+$F$3),1)</f>
        <v>53.3</v>
      </c>
      <c r="G50" s="8">
        <f>ROUNDUP(C50*(1+$F$3),1)</f>
        <v>57</v>
      </c>
      <c r="H50" s="46"/>
      <c r="J50" s="67">
        <f>(F50/B50)-1</f>
        <v>0</v>
      </c>
      <c r="K50" s="67">
        <f>(G50/C50)-1</f>
        <v>0</v>
      </c>
      <c r="L50" s="66"/>
      <c r="M50" s="66"/>
      <c r="N50" s="69"/>
      <c r="O50" s="69"/>
      <c r="P50" s="66"/>
    </row>
    <row r="51" spans="1:16" ht="24" customHeight="1" thickBot="1" x14ac:dyDescent="0.3">
      <c r="A51" s="19" t="s">
        <v>85</v>
      </c>
      <c r="B51" s="64">
        <v>47.800000000000004</v>
      </c>
      <c r="C51" s="64">
        <v>51</v>
      </c>
      <c r="D51" s="63"/>
      <c r="F51" s="60">
        <f t="shared" ref="F51:F54" si="45">ROUNDUP(B51*(1+$F$3),1)</f>
        <v>47.8</v>
      </c>
      <c r="G51" s="60">
        <f t="shared" ref="G51:G54" si="46">ROUNDUP(C51*(1+$F$3),1)</f>
        <v>51</v>
      </c>
      <c r="H51" s="46"/>
      <c r="J51" s="67">
        <f t="shared" ref="J51:J54" si="47">(F51/B51)-1</f>
        <v>0</v>
      </c>
      <c r="K51" s="67">
        <f t="shared" ref="K51:K54" si="48">(G51/C51)-1</f>
        <v>0</v>
      </c>
      <c r="L51" s="66"/>
      <c r="M51" s="66"/>
      <c r="N51" s="69"/>
      <c r="O51" s="69"/>
      <c r="P51" s="66"/>
    </row>
    <row r="52" spans="1:16" ht="24" customHeight="1" thickBot="1" x14ac:dyDescent="0.3">
      <c r="A52" s="19" t="s">
        <v>87</v>
      </c>
      <c r="B52" s="64">
        <v>47.800000000000004</v>
      </c>
      <c r="C52" s="64">
        <v>51</v>
      </c>
      <c r="D52" s="63"/>
      <c r="F52" s="60">
        <f t="shared" si="45"/>
        <v>47.8</v>
      </c>
      <c r="G52" s="60">
        <f t="shared" si="46"/>
        <v>51</v>
      </c>
      <c r="H52" s="46"/>
      <c r="J52" s="67">
        <f t="shared" si="47"/>
        <v>0</v>
      </c>
      <c r="K52" s="67">
        <f t="shared" si="48"/>
        <v>0</v>
      </c>
      <c r="L52" s="66"/>
      <c r="M52" s="66"/>
      <c r="N52" s="69"/>
      <c r="O52" s="69"/>
      <c r="P52" s="66"/>
    </row>
    <row r="53" spans="1:16" ht="24" customHeight="1" thickBot="1" x14ac:dyDescent="0.3">
      <c r="A53" s="19" t="s">
        <v>86</v>
      </c>
      <c r="B53" s="64">
        <v>23.900000000000002</v>
      </c>
      <c r="C53" s="64">
        <v>25.5</v>
      </c>
      <c r="D53" s="63"/>
      <c r="F53" s="60">
        <f t="shared" si="45"/>
        <v>23.9</v>
      </c>
      <c r="G53" s="60">
        <f t="shared" si="46"/>
        <v>25.5</v>
      </c>
      <c r="H53" s="46"/>
      <c r="J53" s="67">
        <f t="shared" si="47"/>
        <v>0</v>
      </c>
      <c r="K53" s="67">
        <f t="shared" si="48"/>
        <v>0</v>
      </c>
      <c r="L53" s="66"/>
      <c r="M53" s="66"/>
      <c r="N53" s="69"/>
      <c r="O53" s="69"/>
      <c r="P53" s="66"/>
    </row>
    <row r="54" spans="1:16" ht="24" customHeight="1" thickBot="1" x14ac:dyDescent="0.3">
      <c r="A54" s="19" t="s">
        <v>88</v>
      </c>
      <c r="B54" s="64">
        <v>23.900000000000002</v>
      </c>
      <c r="C54" s="64">
        <v>25.5</v>
      </c>
      <c r="D54" s="63"/>
      <c r="F54" s="60">
        <f t="shared" si="45"/>
        <v>23.9</v>
      </c>
      <c r="G54" s="60">
        <f t="shared" si="46"/>
        <v>25.5</v>
      </c>
      <c r="H54" s="46"/>
      <c r="J54" s="67">
        <f t="shared" si="47"/>
        <v>0</v>
      </c>
      <c r="K54" s="67">
        <f t="shared" si="48"/>
        <v>0</v>
      </c>
      <c r="L54" s="66"/>
      <c r="M54" s="66"/>
      <c r="N54" s="69"/>
      <c r="O54" s="69"/>
      <c r="P54" s="66"/>
    </row>
    <row r="55" spans="1:16" ht="24" customHeight="1" thickBot="1" x14ac:dyDescent="0.3">
      <c r="A55" s="75" t="s">
        <v>42</v>
      </c>
      <c r="B55" s="76"/>
      <c r="C55" s="76"/>
      <c r="D55" s="77"/>
      <c r="F55" s="7" t="s">
        <v>73</v>
      </c>
      <c r="G55" s="7"/>
      <c r="H55" s="7"/>
      <c r="J55" s="67"/>
      <c r="K55" s="67"/>
      <c r="L55" s="66"/>
      <c r="M55" s="66"/>
      <c r="N55" s="66"/>
      <c r="O55" s="66"/>
      <c r="P55" s="66"/>
    </row>
    <row r="56" spans="1:16" ht="24" customHeight="1" thickBot="1" x14ac:dyDescent="0.3">
      <c r="A56" s="2" t="s">
        <v>43</v>
      </c>
      <c r="B56" s="11">
        <v>18</v>
      </c>
      <c r="C56" s="11">
        <v>36</v>
      </c>
      <c r="D56" s="47"/>
      <c r="F56" s="73">
        <f t="shared" ref="F56:F57" si="49">ROUNDUP(B56*(1+$F$3),1)</f>
        <v>18</v>
      </c>
      <c r="G56" s="73">
        <f t="shared" ref="G56:G59" si="50">ROUNDUP(C56*(1+$F$3),1)</f>
        <v>36</v>
      </c>
      <c r="H56" s="47"/>
      <c r="J56" s="67">
        <f t="shared" ref="J56:K63" si="51">(F56/B56)-1</f>
        <v>0</v>
      </c>
      <c r="K56" s="67">
        <f t="shared" si="51"/>
        <v>0</v>
      </c>
      <c r="L56" s="66"/>
      <c r="M56" s="66"/>
      <c r="N56" s="69"/>
      <c r="O56" s="69"/>
      <c r="P56" s="66"/>
    </row>
    <row r="57" spans="1:16" ht="24" customHeight="1" thickBot="1" x14ac:dyDescent="0.3">
      <c r="A57" s="2" t="s">
        <v>44</v>
      </c>
      <c r="B57" s="11">
        <v>16.5</v>
      </c>
      <c r="C57" s="6">
        <v>33</v>
      </c>
      <c r="D57" s="41"/>
      <c r="F57" s="73">
        <f t="shared" si="49"/>
        <v>16.5</v>
      </c>
      <c r="G57" s="73">
        <f t="shared" si="50"/>
        <v>33</v>
      </c>
      <c r="H57" s="41"/>
      <c r="J57" s="67">
        <f t="shared" si="51"/>
        <v>0</v>
      </c>
      <c r="K57" s="67">
        <f t="shared" si="51"/>
        <v>0</v>
      </c>
      <c r="L57" s="66"/>
      <c r="M57" s="66"/>
      <c r="N57" s="69"/>
      <c r="O57" s="69"/>
      <c r="P57" s="66"/>
    </row>
    <row r="58" spans="1:16" ht="24" customHeight="1" thickBot="1" x14ac:dyDescent="0.3">
      <c r="A58" s="2" t="s">
        <v>45</v>
      </c>
      <c r="B58" s="101">
        <v>75</v>
      </c>
      <c r="C58" s="102">
        <v>0</v>
      </c>
      <c r="D58" s="48"/>
      <c r="F58" s="101">
        <f>ROUNDUP(B58*(1+$F$3),1)</f>
        <v>75</v>
      </c>
      <c r="G58" s="102">
        <f t="shared" si="50"/>
        <v>0</v>
      </c>
      <c r="H58" s="48"/>
      <c r="J58" s="90">
        <f t="shared" si="51"/>
        <v>0</v>
      </c>
      <c r="K58" s="107" t="e">
        <f t="shared" si="51"/>
        <v>#DIV/0!</v>
      </c>
      <c r="L58" s="66"/>
      <c r="M58" s="66"/>
      <c r="N58" s="69"/>
      <c r="O58" s="69"/>
      <c r="P58" s="66"/>
    </row>
    <row r="59" spans="1:16" ht="24" customHeight="1" thickBot="1" x14ac:dyDescent="0.3">
      <c r="A59" s="2" t="s">
        <v>46</v>
      </c>
      <c r="B59" s="101">
        <v>138.69999999999999</v>
      </c>
      <c r="C59" s="102">
        <v>0</v>
      </c>
      <c r="D59" s="48"/>
      <c r="F59" s="101">
        <f>ROUNDUP(B59*(1+$F$3),1)</f>
        <v>138.69999999999999</v>
      </c>
      <c r="G59" s="102">
        <f t="shared" si="50"/>
        <v>0</v>
      </c>
      <c r="H59" s="48"/>
      <c r="J59" s="90">
        <f t="shared" si="51"/>
        <v>0</v>
      </c>
      <c r="K59" s="107" t="e">
        <f t="shared" si="51"/>
        <v>#DIV/0!</v>
      </c>
      <c r="L59" s="66"/>
      <c r="M59" s="66"/>
      <c r="N59" s="69"/>
      <c r="O59" s="69"/>
      <c r="P59" s="66"/>
    </row>
    <row r="60" spans="1:16" ht="24" customHeight="1" thickBot="1" x14ac:dyDescent="0.3">
      <c r="A60" s="2" t="s">
        <v>47</v>
      </c>
      <c r="B60" s="11">
        <v>7.5</v>
      </c>
      <c r="C60" s="6">
        <v>10</v>
      </c>
      <c r="D60" s="41"/>
      <c r="F60" s="73">
        <f t="shared" ref="F60:F63" si="52">ROUNDUP(B60*(1+$F$3),1)</f>
        <v>7.5</v>
      </c>
      <c r="G60" s="73">
        <f t="shared" ref="G60:G63" si="53">ROUNDUP(C60*(1+$F$3),1)</f>
        <v>10</v>
      </c>
      <c r="H60" s="41"/>
      <c r="J60" s="67">
        <f t="shared" si="51"/>
        <v>0</v>
      </c>
      <c r="K60" s="67">
        <f t="shared" si="51"/>
        <v>0</v>
      </c>
      <c r="L60" s="66"/>
      <c r="M60" s="66"/>
      <c r="N60" s="69"/>
      <c r="O60" s="69"/>
      <c r="P60" s="66"/>
    </row>
    <row r="61" spans="1:16" ht="24" customHeight="1" thickBot="1" x14ac:dyDescent="0.3">
      <c r="A61" s="2" t="s">
        <v>48</v>
      </c>
      <c r="B61" s="11">
        <v>40</v>
      </c>
      <c r="C61" s="6">
        <v>53.3</v>
      </c>
      <c r="D61" s="41"/>
      <c r="F61" s="73">
        <f t="shared" si="52"/>
        <v>40</v>
      </c>
      <c r="G61" s="73">
        <f t="shared" si="53"/>
        <v>53.3</v>
      </c>
      <c r="H61" s="41"/>
      <c r="J61" s="67">
        <f t="shared" si="51"/>
        <v>0</v>
      </c>
      <c r="K61" s="67">
        <f t="shared" si="51"/>
        <v>0</v>
      </c>
      <c r="L61" s="66"/>
      <c r="M61" s="66"/>
      <c r="N61" s="69"/>
      <c r="O61" s="69"/>
      <c r="P61" s="66"/>
    </row>
    <row r="62" spans="1:16" ht="24" customHeight="1" thickBot="1" x14ac:dyDescent="0.3">
      <c r="A62" s="3" t="s">
        <v>89</v>
      </c>
      <c r="B62" s="6">
        <v>6</v>
      </c>
      <c r="C62" s="13">
        <v>8</v>
      </c>
      <c r="D62" s="42"/>
      <c r="F62" s="73">
        <f t="shared" si="52"/>
        <v>6</v>
      </c>
      <c r="G62" s="73">
        <f t="shared" si="53"/>
        <v>8</v>
      </c>
      <c r="H62" s="42"/>
      <c r="J62" s="67"/>
      <c r="K62" s="67"/>
      <c r="L62" s="66"/>
      <c r="M62" s="66"/>
      <c r="N62" s="69"/>
      <c r="O62" s="69"/>
      <c r="P62" s="66"/>
    </row>
    <row r="63" spans="1:16" ht="24" customHeight="1" thickBot="1" x14ac:dyDescent="0.3">
      <c r="A63" s="65" t="s">
        <v>49</v>
      </c>
      <c r="B63" s="33">
        <v>33.700000000000003</v>
      </c>
      <c r="C63" s="13">
        <v>45</v>
      </c>
      <c r="D63" s="49"/>
      <c r="F63" s="73">
        <f t="shared" si="52"/>
        <v>33.700000000000003</v>
      </c>
      <c r="G63" s="73">
        <f t="shared" si="53"/>
        <v>45</v>
      </c>
      <c r="H63" s="49"/>
      <c r="J63" s="67">
        <f t="shared" si="51"/>
        <v>0</v>
      </c>
      <c r="K63" s="67">
        <f t="shared" si="51"/>
        <v>0</v>
      </c>
      <c r="L63" s="66"/>
      <c r="M63" s="66"/>
      <c r="N63" s="69"/>
      <c r="O63" s="69"/>
      <c r="P63" s="66"/>
    </row>
    <row r="64" spans="1:16" ht="24" customHeight="1" thickBot="1" x14ac:dyDescent="0.3">
      <c r="A64" s="75" t="s">
        <v>50</v>
      </c>
      <c r="B64" s="76"/>
      <c r="C64" s="76"/>
      <c r="D64" s="77"/>
      <c r="F64" s="7"/>
      <c r="G64" s="7"/>
      <c r="H64" s="7"/>
      <c r="J64" s="67"/>
      <c r="K64" s="67"/>
      <c r="L64" s="66"/>
      <c r="M64" s="66"/>
      <c r="N64" s="66"/>
      <c r="O64" s="66"/>
      <c r="P64" s="66"/>
    </row>
    <row r="65" spans="1:16" ht="24" customHeight="1" thickBot="1" x14ac:dyDescent="0.3">
      <c r="A65" s="2" t="s">
        <v>51</v>
      </c>
      <c r="B65" s="11">
        <v>18</v>
      </c>
      <c r="C65" s="11">
        <v>36</v>
      </c>
      <c r="D65" s="47"/>
      <c r="F65" s="73">
        <f t="shared" ref="F65:F66" si="54">ROUNDUP(B65*(1+$F$3),1)</f>
        <v>18</v>
      </c>
      <c r="G65" s="73">
        <f t="shared" ref="G65:G67" si="55">ROUNDUP(C65*(1+$F$3),1)</f>
        <v>36</v>
      </c>
      <c r="H65" s="47"/>
      <c r="J65" s="67">
        <f t="shared" ref="J65:K69" si="56">(F65/B65)-1</f>
        <v>0</v>
      </c>
      <c r="K65" s="67">
        <f t="shared" si="56"/>
        <v>0</v>
      </c>
      <c r="L65" s="66"/>
      <c r="M65" s="66"/>
      <c r="N65" s="69"/>
      <c r="O65" s="69"/>
      <c r="P65" s="66"/>
    </row>
    <row r="66" spans="1:16" ht="24" customHeight="1" thickBot="1" x14ac:dyDescent="0.3">
      <c r="A66" s="2" t="s">
        <v>44</v>
      </c>
      <c r="B66" s="11">
        <v>16.5</v>
      </c>
      <c r="C66" s="6">
        <v>33</v>
      </c>
      <c r="D66" s="41"/>
      <c r="F66" s="73">
        <f t="shared" si="54"/>
        <v>16.5</v>
      </c>
      <c r="G66" s="73">
        <f t="shared" si="55"/>
        <v>33</v>
      </c>
      <c r="H66" s="41"/>
      <c r="J66" s="67">
        <f t="shared" si="56"/>
        <v>0</v>
      </c>
      <c r="K66" s="67">
        <f t="shared" si="56"/>
        <v>0</v>
      </c>
      <c r="L66" s="66"/>
      <c r="M66" s="66"/>
      <c r="N66" s="69"/>
      <c r="O66" s="69"/>
      <c r="P66" s="66"/>
    </row>
    <row r="67" spans="1:16" ht="24" customHeight="1" thickBot="1" x14ac:dyDescent="0.3">
      <c r="A67" s="2" t="s">
        <v>52</v>
      </c>
      <c r="B67" s="101">
        <v>75</v>
      </c>
      <c r="C67" s="102">
        <v>0</v>
      </c>
      <c r="D67" s="48"/>
      <c r="F67" s="101">
        <f>ROUNDUP(B67*(1+$F$3),1)</f>
        <v>75</v>
      </c>
      <c r="G67" s="102">
        <f t="shared" si="55"/>
        <v>0</v>
      </c>
      <c r="H67" s="48"/>
      <c r="J67" s="90">
        <f t="shared" si="56"/>
        <v>0</v>
      </c>
      <c r="K67" s="107" t="e">
        <f t="shared" si="56"/>
        <v>#DIV/0!</v>
      </c>
      <c r="L67" s="66"/>
      <c r="M67" s="66"/>
      <c r="N67" s="69"/>
      <c r="O67" s="69"/>
      <c r="P67" s="66"/>
    </row>
    <row r="68" spans="1:16" ht="24" customHeight="1" thickBot="1" x14ac:dyDescent="0.3">
      <c r="A68" s="2" t="s">
        <v>53</v>
      </c>
      <c r="B68" s="11">
        <v>40</v>
      </c>
      <c r="C68" s="6">
        <v>53.3</v>
      </c>
      <c r="D68" s="41"/>
      <c r="F68" s="73">
        <f t="shared" ref="F68:F69" si="57">ROUNDUP(B68*(1+$F$3),1)</f>
        <v>40</v>
      </c>
      <c r="G68" s="73">
        <f t="shared" ref="G68:G69" si="58">ROUNDUP(C68*(1+$F$3),1)</f>
        <v>53.3</v>
      </c>
      <c r="H68" s="42"/>
      <c r="J68" s="67">
        <f t="shared" si="56"/>
        <v>0</v>
      </c>
      <c r="K68" s="67">
        <f t="shared" si="56"/>
        <v>0</v>
      </c>
      <c r="L68" s="66"/>
      <c r="M68" s="66"/>
      <c r="N68" s="69"/>
      <c r="O68" s="69"/>
      <c r="P68" s="66"/>
    </row>
    <row r="69" spans="1:16" ht="24" customHeight="1" thickBot="1" x14ac:dyDescent="0.3">
      <c r="A69" s="3" t="s">
        <v>54</v>
      </c>
      <c r="B69" s="33">
        <v>41.3</v>
      </c>
      <c r="C69" s="13">
        <v>55</v>
      </c>
      <c r="D69" s="42"/>
      <c r="F69" s="73">
        <f t="shared" si="57"/>
        <v>41.3</v>
      </c>
      <c r="G69" s="73">
        <f t="shared" si="58"/>
        <v>55</v>
      </c>
      <c r="H69" s="53"/>
      <c r="J69" s="67">
        <f t="shared" si="56"/>
        <v>0</v>
      </c>
      <c r="K69" s="67">
        <f t="shared" si="56"/>
        <v>0</v>
      </c>
      <c r="L69" s="66"/>
      <c r="M69" s="66"/>
      <c r="N69" s="69"/>
      <c r="O69" s="69"/>
      <c r="P69" s="66"/>
    </row>
    <row r="70" spans="1:16" ht="24" customHeight="1" thickBot="1" x14ac:dyDescent="0.3">
      <c r="A70" s="75" t="s">
        <v>55</v>
      </c>
      <c r="B70" s="76"/>
      <c r="C70" s="76"/>
      <c r="D70" s="77"/>
      <c r="F70" s="7"/>
      <c r="G70" s="7"/>
      <c r="H70" s="7"/>
      <c r="J70" s="67"/>
      <c r="K70" s="67"/>
      <c r="L70" s="66"/>
      <c r="M70" s="66"/>
      <c r="N70" s="66"/>
      <c r="O70" s="66"/>
      <c r="P70" s="66"/>
    </row>
    <row r="71" spans="1:16" ht="24" customHeight="1" thickBot="1" x14ac:dyDescent="0.3">
      <c r="A71" s="3" t="s">
        <v>56</v>
      </c>
      <c r="B71" s="11">
        <v>40</v>
      </c>
      <c r="C71" s="11">
        <v>53.3</v>
      </c>
      <c r="D71" s="50"/>
      <c r="F71" s="73">
        <f t="shared" ref="F71" si="59">ROUNDUP(B71*(1+$F$3),1)</f>
        <v>40</v>
      </c>
      <c r="G71" s="73">
        <f t="shared" ref="G71" si="60">ROUNDUP(C71*(1+$F$3),1)</f>
        <v>53.3</v>
      </c>
      <c r="H71" s="55"/>
      <c r="J71" s="67">
        <f t="shared" ref="J71:K75" si="61">(F71/B71)-1</f>
        <v>0</v>
      </c>
      <c r="K71" s="67">
        <f t="shared" si="61"/>
        <v>0</v>
      </c>
      <c r="L71" s="66"/>
      <c r="M71" s="66"/>
      <c r="N71" s="69"/>
      <c r="O71" s="69"/>
      <c r="P71" s="66"/>
    </row>
    <row r="72" spans="1:16" ht="24" customHeight="1" thickBot="1" x14ac:dyDescent="0.3">
      <c r="A72" s="19" t="s">
        <v>57</v>
      </c>
      <c r="B72" s="79">
        <v>1.3</v>
      </c>
      <c r="C72" s="102">
        <v>0</v>
      </c>
      <c r="D72" s="11">
        <v>1.0661538461538462</v>
      </c>
      <c r="F72" s="101">
        <f t="shared" ref="F72:F73" si="62">ROUNDUP(B72*(1+$F$3),1)</f>
        <v>1.3</v>
      </c>
      <c r="G72" s="108">
        <f t="shared" ref="G72:G75" si="63">ROUNDUP(C72*(1+$F$3),1)</f>
        <v>0</v>
      </c>
      <c r="H72" s="57">
        <f t="shared" ref="H72:H73" si="64">(D72/B72)*F72</f>
        <v>1.0661538461538462</v>
      </c>
      <c r="J72" s="90">
        <f t="shared" si="61"/>
        <v>0</v>
      </c>
      <c r="K72" s="107" t="e">
        <f t="shared" si="61"/>
        <v>#DIV/0!</v>
      </c>
      <c r="L72" s="66"/>
      <c r="M72" s="66"/>
      <c r="N72" s="68">
        <f t="shared" ref="N72:N74" si="65">D72/B72</f>
        <v>0.82011834319526633</v>
      </c>
      <c r="O72" s="68">
        <f t="shared" ref="O72:O74" si="66">H72/F72</f>
        <v>0.82011834319526633</v>
      </c>
      <c r="P72" s="66" t="str">
        <f t="shared" ref="P72:P74" si="67">IF(N72=O72,"OK","ERROR")</f>
        <v>OK</v>
      </c>
    </row>
    <row r="73" spans="1:16" ht="24" customHeight="1" thickBot="1" x14ac:dyDescent="0.3">
      <c r="A73" s="2" t="s">
        <v>58</v>
      </c>
      <c r="B73" s="101">
        <v>1.8</v>
      </c>
      <c r="C73" s="102">
        <v>0</v>
      </c>
      <c r="D73" s="11">
        <v>1.4777777777777776</v>
      </c>
      <c r="F73" s="101">
        <f t="shared" si="62"/>
        <v>1.8</v>
      </c>
      <c r="G73" s="108">
        <f t="shared" si="63"/>
        <v>0</v>
      </c>
      <c r="H73" s="58">
        <f t="shared" si="64"/>
        <v>1.4777777777777776</v>
      </c>
      <c r="J73" s="90">
        <f t="shared" si="61"/>
        <v>0</v>
      </c>
      <c r="K73" s="107" t="e">
        <f t="shared" si="61"/>
        <v>#DIV/0!</v>
      </c>
      <c r="L73" s="66"/>
      <c r="M73" s="66"/>
      <c r="N73" s="68">
        <f t="shared" si="65"/>
        <v>0.82098765432098753</v>
      </c>
      <c r="O73" s="68">
        <f t="shared" si="66"/>
        <v>0.82098765432098753</v>
      </c>
      <c r="P73" s="66" t="str">
        <f t="shared" si="67"/>
        <v>OK</v>
      </c>
    </row>
    <row r="74" spans="1:16" ht="24" customHeight="1" thickBot="1" x14ac:dyDescent="0.3">
      <c r="A74" s="2" t="s">
        <v>59</v>
      </c>
      <c r="B74" s="101">
        <v>1.8</v>
      </c>
      <c r="C74" s="102">
        <v>0</v>
      </c>
      <c r="D74" s="11">
        <v>1.4777777777777776</v>
      </c>
      <c r="F74" s="101">
        <f>ROUNDUP(B74*(1+$F$3),1)</f>
        <v>1.8</v>
      </c>
      <c r="G74" s="108">
        <f t="shared" si="63"/>
        <v>0</v>
      </c>
      <c r="H74" s="59">
        <f>(D74/B74)*F74</f>
        <v>1.4777777777777776</v>
      </c>
      <c r="J74" s="90">
        <f t="shared" si="61"/>
        <v>0</v>
      </c>
      <c r="K74" s="107" t="e">
        <f t="shared" si="61"/>
        <v>#DIV/0!</v>
      </c>
      <c r="L74" s="66"/>
      <c r="M74" s="66"/>
      <c r="N74" s="68">
        <f t="shared" si="65"/>
        <v>0.82098765432098753</v>
      </c>
      <c r="O74" s="68">
        <f t="shared" si="66"/>
        <v>0.82098765432098753</v>
      </c>
      <c r="P74" s="66" t="str">
        <f t="shared" si="67"/>
        <v>OK</v>
      </c>
    </row>
    <row r="75" spans="1:16" ht="24" customHeight="1" thickBot="1" x14ac:dyDescent="0.3">
      <c r="A75" s="3" t="s">
        <v>60</v>
      </c>
      <c r="B75" s="34">
        <v>7.5</v>
      </c>
      <c r="C75" s="32">
        <v>10</v>
      </c>
      <c r="D75" s="50"/>
      <c r="F75" s="73">
        <f t="shared" ref="F75" si="68">ROUNDUP(B75*(1+$F$3),1)</f>
        <v>7.5</v>
      </c>
      <c r="G75" s="73">
        <f t="shared" si="63"/>
        <v>10</v>
      </c>
      <c r="H75" s="56"/>
      <c r="J75" s="67">
        <f t="shared" si="61"/>
        <v>0</v>
      </c>
      <c r="K75" s="67">
        <f t="shared" si="61"/>
        <v>0</v>
      </c>
      <c r="L75" s="66"/>
      <c r="M75" s="66"/>
      <c r="N75" s="69"/>
      <c r="O75" s="69"/>
      <c r="P75" s="66"/>
    </row>
    <row r="76" spans="1:16" ht="24" customHeight="1" thickBot="1" x14ac:dyDescent="0.3">
      <c r="A76" s="103" t="s">
        <v>61</v>
      </c>
      <c r="B76" s="104"/>
      <c r="C76" s="104"/>
      <c r="D76" s="77"/>
      <c r="F76" s="7"/>
      <c r="G76" s="7"/>
      <c r="H76" s="7"/>
      <c r="J76" s="67"/>
      <c r="K76" s="67"/>
      <c r="L76" s="66"/>
      <c r="M76" s="66"/>
      <c r="N76" s="66"/>
      <c r="O76" s="66"/>
      <c r="P76" s="66"/>
    </row>
    <row r="77" spans="1:16" ht="24" customHeight="1" thickBot="1" x14ac:dyDescent="0.3">
      <c r="A77" s="2" t="s">
        <v>62</v>
      </c>
      <c r="B77" s="11">
        <v>40</v>
      </c>
      <c r="C77" s="11">
        <v>53.3</v>
      </c>
      <c r="D77" s="47"/>
      <c r="F77" s="73">
        <f t="shared" ref="F77:F80" si="69">ROUNDUP(B77*(1+$F$3),1)</f>
        <v>40</v>
      </c>
      <c r="G77" s="73">
        <f t="shared" ref="G77:G80" si="70">ROUNDUP(C77*(1+$F$3),1)</f>
        <v>53.3</v>
      </c>
      <c r="H77" s="47"/>
      <c r="J77" s="67">
        <f t="shared" ref="J77:K80" si="71">(F77/B77)-1</f>
        <v>0</v>
      </c>
      <c r="K77" s="67">
        <f t="shared" si="71"/>
        <v>0</v>
      </c>
      <c r="L77" s="66"/>
      <c r="M77" s="66"/>
      <c r="N77" s="69"/>
      <c r="O77" s="69"/>
      <c r="P77" s="66"/>
    </row>
    <row r="78" spans="1:16" ht="24" customHeight="1" thickBot="1" x14ac:dyDescent="0.3">
      <c r="A78" s="2" t="s">
        <v>63</v>
      </c>
      <c r="B78" s="6">
        <v>24</v>
      </c>
      <c r="C78" s="11">
        <v>32</v>
      </c>
      <c r="D78" s="41"/>
      <c r="F78" s="73">
        <f t="shared" si="69"/>
        <v>24</v>
      </c>
      <c r="G78" s="73">
        <f t="shared" si="70"/>
        <v>32</v>
      </c>
      <c r="H78" s="41"/>
      <c r="J78" s="67">
        <f t="shared" si="71"/>
        <v>0</v>
      </c>
      <c r="K78" s="67">
        <f t="shared" si="71"/>
        <v>0</v>
      </c>
      <c r="L78" s="66"/>
      <c r="M78" s="66"/>
      <c r="N78" s="69"/>
      <c r="O78" s="69"/>
      <c r="P78" s="66"/>
    </row>
    <row r="79" spans="1:16" ht="24" customHeight="1" thickBot="1" x14ac:dyDescent="0.3">
      <c r="A79" s="2" t="s">
        <v>64</v>
      </c>
      <c r="B79" s="9">
        <v>16</v>
      </c>
      <c r="C79" s="11">
        <v>21.3</v>
      </c>
      <c r="D79" s="41"/>
      <c r="F79" s="73">
        <f t="shared" si="69"/>
        <v>16</v>
      </c>
      <c r="G79" s="73">
        <f t="shared" si="70"/>
        <v>21.3</v>
      </c>
      <c r="H79" s="41"/>
      <c r="J79" s="67">
        <f t="shared" si="71"/>
        <v>0</v>
      </c>
      <c r="K79" s="67">
        <f t="shared" si="71"/>
        <v>0</v>
      </c>
      <c r="L79" s="66"/>
      <c r="M79" s="66"/>
      <c r="N79" s="69"/>
      <c r="O79" s="69"/>
      <c r="P79" s="66"/>
    </row>
    <row r="80" spans="1:16" ht="24" customHeight="1" thickBot="1" x14ac:dyDescent="0.3">
      <c r="A80" s="3" t="s">
        <v>65</v>
      </c>
      <c r="B80" s="13">
        <v>8</v>
      </c>
      <c r="C80" s="33">
        <v>10.7</v>
      </c>
      <c r="D80" s="49"/>
      <c r="F80" s="73">
        <f t="shared" si="69"/>
        <v>8</v>
      </c>
      <c r="G80" s="73">
        <f t="shared" si="70"/>
        <v>10.7</v>
      </c>
      <c r="H80" s="49"/>
      <c r="J80" s="67">
        <f t="shared" si="71"/>
        <v>0</v>
      </c>
      <c r="K80" s="67">
        <f t="shared" si="71"/>
        <v>0</v>
      </c>
      <c r="L80" s="66"/>
      <c r="M80" s="66"/>
      <c r="N80" s="69"/>
      <c r="O80" s="69"/>
      <c r="P80" s="66"/>
    </row>
    <row r="81" spans="1:16" ht="24" customHeight="1" thickBot="1" x14ac:dyDescent="0.3">
      <c r="A81" s="103" t="s">
        <v>66</v>
      </c>
      <c r="B81" s="104"/>
      <c r="C81" s="104"/>
      <c r="D81" s="77"/>
      <c r="F81" s="7"/>
      <c r="G81" s="7"/>
      <c r="H81" s="7"/>
      <c r="J81" s="67"/>
      <c r="K81" s="67"/>
      <c r="L81" s="66"/>
      <c r="M81" s="66"/>
      <c r="N81" s="66"/>
      <c r="O81" s="66"/>
      <c r="P81" s="66"/>
    </row>
    <row r="82" spans="1:16" ht="24" customHeight="1" thickBot="1" x14ac:dyDescent="0.3">
      <c r="A82" s="2" t="s">
        <v>67</v>
      </c>
      <c r="B82" s="11">
        <v>40</v>
      </c>
      <c r="C82" s="11">
        <v>53.3</v>
      </c>
      <c r="D82" s="47"/>
      <c r="F82" s="73">
        <f t="shared" ref="F82" si="72">ROUNDUP(B82*(1+$F$3),1)</f>
        <v>40</v>
      </c>
      <c r="G82" s="73">
        <f t="shared" ref="G82" si="73">ROUNDUP(C82*(1+$F$3),1)</f>
        <v>53.3</v>
      </c>
      <c r="H82" s="47"/>
      <c r="J82" s="67">
        <f t="shared" ref="J82:K85" si="74">(F82/B82)-1</f>
        <v>0</v>
      </c>
      <c r="K82" s="67">
        <f t="shared" si="74"/>
        <v>0</v>
      </c>
      <c r="L82" s="66"/>
      <c r="M82" s="66"/>
      <c r="N82" s="69"/>
      <c r="O82" s="69"/>
      <c r="P82" s="66"/>
    </row>
    <row r="83" spans="1:16" ht="24" customHeight="1" thickBot="1" x14ac:dyDescent="0.3">
      <c r="A83" s="2" t="s">
        <v>68</v>
      </c>
      <c r="B83" s="6">
        <v>5.5</v>
      </c>
      <c r="C83" s="11">
        <v>5.6999999999999993</v>
      </c>
      <c r="D83" s="41"/>
      <c r="F83" s="6">
        <f t="shared" ref="F83" si="75">ROUNDUP(B83*(1+$F$3),1)</f>
        <v>5.5</v>
      </c>
      <c r="G83" s="6">
        <f t="shared" ref="G83" si="76">ROUNDUP(C83*(1+$F$3),1)</f>
        <v>5.7</v>
      </c>
      <c r="H83" s="41"/>
      <c r="J83" s="67">
        <f t="shared" si="74"/>
        <v>0</v>
      </c>
      <c r="K83" s="67">
        <f t="shared" si="74"/>
        <v>0</v>
      </c>
      <c r="L83" s="66"/>
      <c r="M83" s="66"/>
      <c r="N83" s="69"/>
      <c r="O83" s="69"/>
      <c r="P83" s="66"/>
    </row>
    <row r="84" spans="1:16" ht="24" customHeight="1" thickBot="1" x14ac:dyDescent="0.3">
      <c r="A84" s="2" t="s">
        <v>69</v>
      </c>
      <c r="B84" s="6">
        <v>5.5</v>
      </c>
      <c r="C84" s="11">
        <v>5.6999999999999993</v>
      </c>
      <c r="D84" s="41"/>
      <c r="F84" s="6">
        <f t="shared" ref="F84" si="77">ROUNDUP(B84*(1+$F$3),1)</f>
        <v>5.5</v>
      </c>
      <c r="G84" s="6">
        <f t="shared" ref="G84" si="78">ROUNDUP(C84*(1+$F$3),1)</f>
        <v>5.7</v>
      </c>
      <c r="H84" s="41"/>
      <c r="J84" s="67">
        <f t="shared" ref="J84" si="79">(F84/B84)-1</f>
        <v>0</v>
      </c>
      <c r="K84" s="67">
        <f t="shared" ref="K84" si="80">(G84/C84)-1</f>
        <v>0</v>
      </c>
      <c r="L84" s="66"/>
      <c r="M84" s="66"/>
      <c r="N84" s="69"/>
      <c r="O84" s="69"/>
      <c r="P84" s="66"/>
    </row>
    <row r="85" spans="1:16" ht="24" customHeight="1" thickBot="1" x14ac:dyDescent="0.3">
      <c r="A85" s="2" t="s">
        <v>90</v>
      </c>
      <c r="B85" s="6">
        <v>7.5</v>
      </c>
      <c r="C85" s="11">
        <v>10</v>
      </c>
      <c r="D85" s="41"/>
      <c r="F85" s="6">
        <f t="shared" ref="F85" si="81">ROUNDUP(B85*(1+$F$3),1)</f>
        <v>7.5</v>
      </c>
      <c r="G85" s="6">
        <f>ROUNDUP(C85*(1+$F$3),1)</f>
        <v>10</v>
      </c>
      <c r="H85" s="41"/>
      <c r="J85" s="67">
        <f t="shared" si="74"/>
        <v>0</v>
      </c>
      <c r="K85" s="67">
        <f t="shared" si="74"/>
        <v>0</v>
      </c>
      <c r="L85" s="66"/>
      <c r="M85" s="66"/>
      <c r="N85" s="69"/>
      <c r="O85" s="69"/>
      <c r="P85" s="66"/>
    </row>
    <row r="86" spans="1:16" ht="24" customHeight="1" thickBot="1" x14ac:dyDescent="0.3">
      <c r="A86" s="35"/>
      <c r="B86" s="36"/>
      <c r="C86" s="16"/>
      <c r="D86" s="16"/>
      <c r="E86" s="18"/>
      <c r="F86" s="16"/>
      <c r="G86" s="16"/>
      <c r="H86" s="16"/>
      <c r="I86" s="18"/>
      <c r="J86" s="70"/>
      <c r="K86" s="67"/>
      <c r="L86" s="66"/>
      <c r="M86" s="66"/>
      <c r="N86" s="66"/>
      <c r="O86" s="66"/>
      <c r="P86" s="66"/>
    </row>
    <row r="87" spans="1:16" ht="24" customHeight="1" thickBot="1" x14ac:dyDescent="0.3">
      <c r="A87" s="103" t="s">
        <v>70</v>
      </c>
      <c r="B87" s="104"/>
      <c r="C87" s="104"/>
      <c r="D87" s="77"/>
      <c r="F87" s="7"/>
      <c r="G87" s="7"/>
      <c r="H87" s="7"/>
      <c r="J87" s="67"/>
      <c r="K87" s="67"/>
      <c r="L87" s="66"/>
      <c r="M87" s="66"/>
      <c r="N87" s="66"/>
      <c r="O87" s="66"/>
      <c r="P87" s="66"/>
    </row>
    <row r="88" spans="1:16" ht="24" customHeight="1" thickBot="1" x14ac:dyDescent="0.3">
      <c r="A88" s="2" t="s">
        <v>71</v>
      </c>
      <c r="B88" s="95">
        <v>295</v>
      </c>
      <c r="C88" s="98"/>
      <c r="D88" s="51"/>
      <c r="F88" s="105">
        <v>295</v>
      </c>
      <c r="G88" s="106">
        <f t="shared" ref="G88:G89" si="82">ROUNDUP(C88*(1+$F$3),1)</f>
        <v>0</v>
      </c>
      <c r="H88" s="51"/>
      <c r="J88" s="109">
        <f t="shared" ref="J88:J89" si="83">(F88/B88)-1</f>
        <v>0</v>
      </c>
      <c r="K88" s="109" t="e">
        <f t="shared" ref="K88:K89" si="84">(G88/C88)-1</f>
        <v>#DIV/0!</v>
      </c>
      <c r="L88" s="66"/>
      <c r="M88" s="66"/>
      <c r="N88" s="69"/>
      <c r="O88" s="69"/>
      <c r="P88" s="66"/>
    </row>
    <row r="89" spans="1:16" ht="24" customHeight="1" thickBot="1" x14ac:dyDescent="0.3">
      <c r="A89" s="2" t="s">
        <v>72</v>
      </c>
      <c r="B89" s="101">
        <v>35</v>
      </c>
      <c r="C89" s="102"/>
      <c r="D89" s="48"/>
      <c r="F89" s="105">
        <v>40</v>
      </c>
      <c r="G89" s="106">
        <f t="shared" si="82"/>
        <v>0</v>
      </c>
      <c r="H89" s="48"/>
      <c r="J89" s="109">
        <f t="shared" si="83"/>
        <v>0.14285714285714279</v>
      </c>
      <c r="K89" s="109" t="e">
        <f t="shared" si="84"/>
        <v>#DIV/0!</v>
      </c>
      <c r="L89" s="66"/>
      <c r="M89" s="66"/>
      <c r="N89" s="69"/>
      <c r="O89" s="69"/>
      <c r="P89" s="66"/>
    </row>
    <row r="90" spans="1:16" ht="24" customHeight="1" thickBot="1" x14ac:dyDescent="0.3">
      <c r="J90" s="66"/>
      <c r="K90" s="66"/>
      <c r="L90" s="66"/>
      <c r="M90" s="66"/>
      <c r="N90" s="66"/>
      <c r="O90" s="66"/>
      <c r="P90" s="66"/>
    </row>
    <row r="91" spans="1:16" ht="24" customHeight="1" thickBot="1" x14ac:dyDescent="0.3">
      <c r="A91" s="103" t="s">
        <v>82</v>
      </c>
      <c r="B91" s="104"/>
      <c r="C91" s="104"/>
      <c r="D91" s="77"/>
      <c r="F91" s="7"/>
      <c r="G91" s="7"/>
      <c r="H91" s="7"/>
      <c r="J91" s="67"/>
      <c r="K91" s="67"/>
      <c r="L91" s="66"/>
      <c r="M91" s="66"/>
      <c r="N91" s="66"/>
      <c r="O91" s="66"/>
      <c r="P91" s="66"/>
    </row>
    <row r="92" spans="1:16" ht="24" customHeight="1" thickBot="1" x14ac:dyDescent="0.3">
      <c r="A92" s="2" t="s">
        <v>81</v>
      </c>
      <c r="B92" s="41"/>
      <c r="C92" s="50"/>
      <c r="D92" s="52">
        <v>0.62</v>
      </c>
      <c r="F92" s="41"/>
      <c r="G92" s="54"/>
      <c r="H92" s="72">
        <f>D92+(D92*F3)</f>
        <v>0.62</v>
      </c>
      <c r="J92" s="66"/>
      <c r="K92" s="67">
        <f>(H92/D92)-1</f>
        <v>0</v>
      </c>
      <c r="L92" s="66"/>
      <c r="M92" s="66"/>
      <c r="N92" s="66"/>
      <c r="O92" s="66"/>
      <c r="P92" s="66"/>
    </row>
  </sheetData>
  <mergeCells count="73">
    <mergeCell ref="J88:K88"/>
    <mergeCell ref="J89:K89"/>
    <mergeCell ref="A91:D91"/>
    <mergeCell ref="M3:N3"/>
    <mergeCell ref="J73:K73"/>
    <mergeCell ref="J74:K74"/>
    <mergeCell ref="J47:K47"/>
    <mergeCell ref="J48:K48"/>
    <mergeCell ref="J67:K67"/>
    <mergeCell ref="J72:K72"/>
    <mergeCell ref="J44:K44"/>
    <mergeCell ref="J45:K45"/>
    <mergeCell ref="J58:K58"/>
    <mergeCell ref="J59:K59"/>
    <mergeCell ref="F7:G7"/>
    <mergeCell ref="F8:G8"/>
    <mergeCell ref="F73:G73"/>
    <mergeCell ref="F74:G74"/>
    <mergeCell ref="F29:G29"/>
    <mergeCell ref="F30:G30"/>
    <mergeCell ref="F44:G44"/>
    <mergeCell ref="F45:G45"/>
    <mergeCell ref="F88:G88"/>
    <mergeCell ref="F89:G89"/>
    <mergeCell ref="J7:K7"/>
    <mergeCell ref="J8:K8"/>
    <mergeCell ref="J13:K13"/>
    <mergeCell ref="J14:K14"/>
    <mergeCell ref="J29:K29"/>
    <mergeCell ref="J30:K30"/>
    <mergeCell ref="F47:G47"/>
    <mergeCell ref="F48:G48"/>
    <mergeCell ref="F58:G58"/>
    <mergeCell ref="F59:G59"/>
    <mergeCell ref="F67:G67"/>
    <mergeCell ref="F72:G72"/>
    <mergeCell ref="F13:G13"/>
    <mergeCell ref="F14:G14"/>
    <mergeCell ref="B89:C89"/>
    <mergeCell ref="B88:C88"/>
    <mergeCell ref="A76:D76"/>
    <mergeCell ref="A81:D81"/>
    <mergeCell ref="A87:D87"/>
    <mergeCell ref="B72:C72"/>
    <mergeCell ref="B73:C73"/>
    <mergeCell ref="B74:C74"/>
    <mergeCell ref="B67:C67"/>
    <mergeCell ref="A70:D70"/>
    <mergeCell ref="B58:C58"/>
    <mergeCell ref="B59:C59"/>
    <mergeCell ref="A49:D49"/>
    <mergeCell ref="A55:D55"/>
    <mergeCell ref="A64:D64"/>
    <mergeCell ref="B48:C48"/>
    <mergeCell ref="B44:C44"/>
    <mergeCell ref="B45:C45"/>
    <mergeCell ref="B47:C47"/>
    <mergeCell ref="A43:D43"/>
    <mergeCell ref="A46:D46"/>
    <mergeCell ref="N2:O2"/>
    <mergeCell ref="A36:D36"/>
    <mergeCell ref="B30:C30"/>
    <mergeCell ref="A31:C31"/>
    <mergeCell ref="A3:D3"/>
    <mergeCell ref="A17:D17"/>
    <mergeCell ref="A28:D28"/>
    <mergeCell ref="B13:C13"/>
    <mergeCell ref="B14:C14"/>
    <mergeCell ref="B7:C7"/>
    <mergeCell ref="B8:C8"/>
    <mergeCell ref="B29:C29"/>
    <mergeCell ref="J3:K3"/>
    <mergeCell ref="F3:H3"/>
  </mergeCells>
  <pageMargins left="0" right="0" top="0.19685039370078741" bottom="0.15748031496062992" header="0.31496062992125984" footer="0.31496062992125984"/>
  <pageSetup paperSize="9" scale="85" fitToHeight="0" orientation="portrait" r:id="rId1"/>
  <rowBreaks count="1" manualBreakCount="1">
    <brk id="4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Moreno</dc:creator>
  <cp:lastModifiedBy>Francisco Moreno</cp:lastModifiedBy>
  <cp:lastPrinted>2020-12-15T12:20:28Z</cp:lastPrinted>
  <dcterms:created xsi:type="dcterms:W3CDTF">2018-02-05T11:11:41Z</dcterms:created>
  <dcterms:modified xsi:type="dcterms:W3CDTF">2020-12-15T12:23:29Z</dcterms:modified>
</cp:coreProperties>
</file>